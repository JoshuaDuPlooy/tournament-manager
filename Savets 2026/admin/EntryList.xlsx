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002CF9C-89D3-4C7D-AD77-B7A97E85B3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B2" i="3"/>
  <c r="B1" i="3"/>
  <c r="E39" i="1"/>
  <c r="F39" i="1"/>
  <c r="G39" i="1"/>
  <c r="H39" i="1"/>
  <c r="I39" i="1"/>
  <c r="J39" i="1"/>
  <c r="K39" i="1"/>
  <c r="L39" i="1"/>
</calcChain>
</file>

<file path=xl/sharedStrings.xml><?xml version="1.0" encoding="utf-8"?>
<sst xmlns="http://schemas.openxmlformats.org/spreadsheetml/2006/main" count="146" uniqueCount="72">
  <si>
    <t>No.</t>
  </si>
  <si>
    <t>Name &amp; Surname</t>
  </si>
  <si>
    <t>Club</t>
  </si>
  <si>
    <t>Date of Birth</t>
  </si>
  <si>
    <t>Simon Dimant</t>
  </si>
  <si>
    <t>Rivonia</t>
  </si>
  <si>
    <t>x</t>
  </si>
  <si>
    <t>Jose da Silva</t>
  </si>
  <si>
    <t>CSIR</t>
  </si>
  <si>
    <t>Women's 35+</t>
  </si>
  <si>
    <t>Women's 50+</t>
  </si>
  <si>
    <t>Men's 
40+</t>
  </si>
  <si>
    <t>Men's 
50+</t>
  </si>
  <si>
    <t>Men's 
60+</t>
  </si>
  <si>
    <t>Ladies Doubles</t>
  </si>
  <si>
    <t>Men's Doubles</t>
  </si>
  <si>
    <t>Mixed Doubles</t>
  </si>
  <si>
    <t>Simon Dimant &amp; Jose da Silva</t>
  </si>
  <si>
    <t>Rivonia &amp; CSIR</t>
  </si>
  <si>
    <t>Jerome Davies</t>
  </si>
  <si>
    <t>Duinefontein TTC</t>
  </si>
  <si>
    <t>Bernard Stewe</t>
  </si>
  <si>
    <t>GWTTC</t>
  </si>
  <si>
    <t>X</t>
  </si>
  <si>
    <t>David Nwafor</t>
  </si>
  <si>
    <t>Delton Alexander</t>
  </si>
  <si>
    <t>Pedro Fortuin</t>
  </si>
  <si>
    <t>Andre Taljaard</t>
  </si>
  <si>
    <t>Bernard Stewe &amp; Lindsay October</t>
  </si>
  <si>
    <t>GWTTC &amp; Top TTC</t>
  </si>
  <si>
    <t>Delton Alexander &amp; Pedro Fortuin</t>
  </si>
  <si>
    <t>Muaath Adams</t>
  </si>
  <si>
    <t>Nexus</t>
  </si>
  <si>
    <t>Zahier Isaacs</t>
  </si>
  <si>
    <t>Saaliegh Jabaar</t>
  </si>
  <si>
    <t>Rafiq Tofa</t>
  </si>
  <si>
    <t>Frans Erasmus</t>
  </si>
  <si>
    <t>Ravens</t>
  </si>
  <si>
    <t>Demos Dracoulides</t>
  </si>
  <si>
    <t>Frans Erasmus &amp; Demos Dracoulides</t>
  </si>
  <si>
    <t>TOP TTC</t>
  </si>
  <si>
    <t>Allan Clark</t>
  </si>
  <si>
    <t>Quentin Thomas</t>
  </si>
  <si>
    <t>Gaston Koetaan</t>
  </si>
  <si>
    <t>Merlin Brown</t>
  </si>
  <si>
    <t>Chris Sloster</t>
  </si>
  <si>
    <t>Lorenzo Haupt</t>
  </si>
  <si>
    <t>Thabiet Adams</t>
  </si>
  <si>
    <t>Bishop Lavis</t>
  </si>
  <si>
    <t>Ashley Wesson</t>
  </si>
  <si>
    <t>Livken</t>
  </si>
  <si>
    <t>Suzie Phillips</t>
  </si>
  <si>
    <t>Gareth Bunce</t>
  </si>
  <si>
    <t>Mother City</t>
  </si>
  <si>
    <t>Sedick Abrahams</t>
  </si>
  <si>
    <t>Stephaniens</t>
  </si>
  <si>
    <t>Saaliegh Jabaar &amp; Rafiq Tofa</t>
  </si>
  <si>
    <t>Zahier Isaacs &amp; David Nwafo</t>
  </si>
  <si>
    <t>Nexus &amp; Goodwood</t>
  </si>
  <si>
    <t>Allan Clark &amp; Gaston Koetaan</t>
  </si>
  <si>
    <t>Quentin Thomas &amp; Merlin Brown</t>
  </si>
  <si>
    <t>Lindsay October &amp; Angeline Wood</t>
  </si>
  <si>
    <t>TOP TTC &amp; Ravens</t>
  </si>
  <si>
    <t>Ashley Wesson &amp; Terence Cable</t>
  </si>
  <si>
    <t>Ashley Wesson &amp; ?</t>
  </si>
  <si>
    <t>David Nwafor &amp; ?</t>
  </si>
  <si>
    <t>GWTTC &amp; ?</t>
  </si>
  <si>
    <t>Livken &amp; ?</t>
  </si>
  <si>
    <t>Total</t>
  </si>
  <si>
    <t>Men's 40+</t>
  </si>
  <si>
    <t>Men's 50+</t>
  </si>
  <si>
    <t>Men's 60+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</si>
</sst>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15" fontId="0" fillId="0" borderId="0" xfId="0" applyNumberFormat="1"/>
    <xf numFmtId="6" fontId="0" fillId="0" borderId="0" xfId="0" applyNumberFormat="1"/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0" fontId="0" fillId="0" borderId="1" xfId="0" applyBorder="1"/>
    <xf numFmtId="0" fontId="1" fillId="0" borderId="1" xfId="0" applyFont="1" applyBorder="1"/>
  </cellXfs>
  <cellStyles count="3">
    <cellStyle name="Normal" xfId="0" builtinId="0"/>
    <cellStyle name="Normal 2" xfId="2" xr:uid="{991D3B05-DF0D-44BC-91D8-055AAC4BD5E5}"/>
    <cellStyle name="Normal 3" xfId="1" xr:uid="{C8F4F19A-79A1-4600-931A-4EE70D46754A}"/>
  </cellStyles>
  <dxfs count="1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9D6FE-9377-4E26-8A12-1953CEC94311}" name="Table1" displayName="Table1" ref="A1:L39" totalsRowCount="1" headerRowDxfId="13" dataDxfId="12">
  <autoFilter ref="A1:L38" xr:uid="{B9D9D6FE-9377-4E26-8A12-1953CEC94311}"/>
  <tableColumns count="12">
    <tableColumn id="1" xr3:uid="{95B3F92B-1F4A-4AD0-8EA9-1B8ED5BE305A}" name="No." totalsRowLabel="Total" dataDxfId="11"/>
    <tableColumn id="2" xr3:uid="{4898A0BB-CB6F-4394-AEB9-8B4D3B0B74B6}" name="Name &amp; Surname" dataDxfId="10"/>
    <tableColumn id="3" xr3:uid="{5B97191E-F3E9-4820-B016-C0089DD1847E}" name="Club" dataDxfId="9"/>
    <tableColumn id="4" xr3:uid="{3B9BFE4D-FA82-407B-B7E4-306E31787EA5}" name="Date of Birth" dataDxfId="8"/>
    <tableColumn id="5" xr3:uid="{D81328E3-17CA-4D55-AE4D-68E2D352C0ED}" name="Women's 35+" totalsRowFunction="count" dataDxfId="7"/>
    <tableColumn id="6" xr3:uid="{ED6166B4-F905-41AF-A953-9B4C4F65CD69}" name="Women's 50+" totalsRowFunction="count" dataDxfId="6"/>
    <tableColumn id="8" xr3:uid="{52128AEA-9E10-4DE2-B0EF-5255429E009D}" name="Men's 40+" totalsRowFunction="count" dataDxfId="5"/>
    <tableColumn id="9" xr3:uid="{C63D64AB-EB99-4E69-8031-1D436BCA8222}" name="Men's 50+" totalsRowFunction="count" dataDxfId="4"/>
    <tableColumn id="10" xr3:uid="{FFCD271F-B56C-4000-870A-D9BC0681CE21}" name="Men's 60+" totalsRowFunction="count" dataDxfId="3"/>
    <tableColumn id="12" xr3:uid="{6BA1B721-D26D-4C92-8981-468F4D498610}" name="Ladies Doubles" totalsRowFunction="count" dataDxfId="2"/>
    <tableColumn id="13" xr3:uid="{C427B098-39DB-4781-AE1F-805D108CB447}" name="Men's Doubles" totalsRowFunction="count" dataDxfId="1"/>
    <tableColumn id="14" xr3:uid="{8CCB5817-F100-484F-9847-0B3DFADE303F}" name="Mixed Double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topLeftCell="A10" zoomScaleNormal="100" workbookViewId="0">
      <selection activeCell="N30" sqref="N30"/>
    </sheetView>
  </sheetViews>
  <sheetFormatPr defaultRowHeight="15" x14ac:dyDescent="0.25"/>
  <cols>
    <col min="1" max="1" width="6.28515625" customWidth="1"/>
    <col min="2" max="2" width="30.5703125" bestFit="1" customWidth="1"/>
    <col min="3" max="3" width="17.85546875" bestFit="1" customWidth="1"/>
    <col min="4" max="4" width="14.42578125" customWidth="1"/>
    <col min="5" max="6" width="15" customWidth="1"/>
    <col min="7" max="9" width="10.42578125" bestFit="1" customWidth="1"/>
    <col min="10" max="10" width="17" customWidth="1"/>
    <col min="11" max="11" width="16.42578125" customWidth="1"/>
    <col min="12" max="12" width="16.5703125" customWidth="1"/>
    <col min="14" max="14" width="17.28515625" bestFit="1" customWidth="1"/>
    <col min="16" max="16" width="18.5703125" bestFit="1" customWidth="1"/>
    <col min="17" max="17" width="11.42578125" bestFit="1" customWidth="1"/>
    <col min="18" max="18" width="34.42578125" bestFit="1" customWidth="1"/>
    <col min="19" max="19" width="17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69</v>
      </c>
      <c r="H1" t="s">
        <v>70</v>
      </c>
      <c r="I1" t="s">
        <v>71</v>
      </c>
      <c r="J1" t="s">
        <v>14</v>
      </c>
      <c r="K1" t="s">
        <v>15</v>
      </c>
      <c r="L1" t="s">
        <v>16</v>
      </c>
    </row>
    <row r="2" spans="1:19" x14ac:dyDescent="0.25">
      <c r="B2" t="s">
        <v>4</v>
      </c>
      <c r="C2" t="s">
        <v>5</v>
      </c>
      <c r="D2" s="1">
        <v>18408</v>
      </c>
      <c r="H2" t="s">
        <v>6</v>
      </c>
      <c r="I2" t="s">
        <v>6</v>
      </c>
      <c r="J2" s="2"/>
    </row>
    <row r="3" spans="1:19" x14ac:dyDescent="0.25">
      <c r="B3" t="s">
        <v>7</v>
      </c>
      <c r="C3" t="s">
        <v>8</v>
      </c>
      <c r="H3" t="s">
        <v>6</v>
      </c>
      <c r="I3" t="s">
        <v>6</v>
      </c>
      <c r="J3" s="2"/>
    </row>
    <row r="4" spans="1:19" x14ac:dyDescent="0.25">
      <c r="B4" t="s">
        <v>19</v>
      </c>
      <c r="C4" t="s">
        <v>20</v>
      </c>
      <c r="D4" s="1">
        <v>29009</v>
      </c>
      <c r="G4" t="s">
        <v>6</v>
      </c>
    </row>
    <row r="5" spans="1:19" x14ac:dyDescent="0.25">
      <c r="B5" t="s">
        <v>21</v>
      </c>
      <c r="C5" t="s">
        <v>22</v>
      </c>
      <c r="G5" t="s">
        <v>6</v>
      </c>
    </row>
    <row r="6" spans="1:19" x14ac:dyDescent="0.25">
      <c r="B6" t="s">
        <v>24</v>
      </c>
      <c r="C6" t="s">
        <v>22</v>
      </c>
      <c r="G6" t="s">
        <v>6</v>
      </c>
    </row>
    <row r="7" spans="1:19" x14ac:dyDescent="0.25">
      <c r="B7" t="s">
        <v>25</v>
      </c>
      <c r="C7" t="s">
        <v>22</v>
      </c>
      <c r="H7" t="s">
        <v>6</v>
      </c>
    </row>
    <row r="8" spans="1:19" x14ac:dyDescent="0.25">
      <c r="B8" t="s">
        <v>26</v>
      </c>
      <c r="C8" t="s">
        <v>22</v>
      </c>
      <c r="G8" t="s">
        <v>6</v>
      </c>
    </row>
    <row r="9" spans="1:19" x14ac:dyDescent="0.25">
      <c r="B9" t="s">
        <v>27</v>
      </c>
      <c r="C9" t="s">
        <v>22</v>
      </c>
      <c r="H9" t="s">
        <v>6</v>
      </c>
      <c r="I9" t="s">
        <v>6</v>
      </c>
    </row>
    <row r="10" spans="1:19" x14ac:dyDescent="0.25">
      <c r="B10" t="s">
        <v>31</v>
      </c>
      <c r="C10" t="s">
        <v>32</v>
      </c>
      <c r="D10" s="3">
        <v>26766</v>
      </c>
      <c r="G10" t="s">
        <v>6</v>
      </c>
      <c r="H10" t="s">
        <v>6</v>
      </c>
      <c r="P10" s="4"/>
    </row>
    <row r="11" spans="1:19" x14ac:dyDescent="0.25">
      <c r="B11" t="s">
        <v>33</v>
      </c>
      <c r="C11" t="s">
        <v>32</v>
      </c>
      <c r="D11" s="3">
        <v>28409</v>
      </c>
      <c r="G11" t="s">
        <v>6</v>
      </c>
      <c r="N11" s="6"/>
      <c r="O11" s="6"/>
      <c r="P11" s="6"/>
      <c r="Q11" s="6"/>
      <c r="R11" s="6"/>
      <c r="S11" s="6"/>
    </row>
    <row r="12" spans="1:19" x14ac:dyDescent="0.25">
      <c r="A12" s="4"/>
      <c r="B12" s="4" t="s">
        <v>34</v>
      </c>
      <c r="C12" s="4" t="s">
        <v>32</v>
      </c>
      <c r="D12" s="5">
        <v>27919</v>
      </c>
      <c r="E12" s="4"/>
      <c r="F12" s="4"/>
      <c r="G12" s="4" t="s">
        <v>6</v>
      </c>
      <c r="H12" s="4" t="s">
        <v>6</v>
      </c>
      <c r="I12" s="4"/>
      <c r="J12" s="4"/>
      <c r="K12" s="4"/>
      <c r="L12" s="4"/>
    </row>
    <row r="13" spans="1:19" s="4" customFormat="1" x14ac:dyDescent="0.25">
      <c r="A13"/>
      <c r="B13" t="s">
        <v>35</v>
      </c>
      <c r="C13" t="s">
        <v>32</v>
      </c>
      <c r="D13" s="3">
        <v>26958</v>
      </c>
      <c r="E13"/>
      <c r="F13"/>
      <c r="G13" t="s">
        <v>6</v>
      </c>
      <c r="H13" t="s">
        <v>6</v>
      </c>
      <c r="I13"/>
      <c r="J13"/>
      <c r="K13"/>
      <c r="L13"/>
      <c r="N13" s="6"/>
      <c r="O13" s="6"/>
      <c r="P13" s="6"/>
      <c r="Q13" s="6"/>
      <c r="R13" s="6"/>
      <c r="S13" s="6"/>
    </row>
    <row r="14" spans="1:19" x14ac:dyDescent="0.25">
      <c r="B14" t="s">
        <v>36</v>
      </c>
      <c r="C14" t="s">
        <v>37</v>
      </c>
      <c r="G14" t="s">
        <v>6</v>
      </c>
      <c r="H14" t="s">
        <v>6</v>
      </c>
    </row>
    <row r="15" spans="1:19" x14ac:dyDescent="0.25">
      <c r="B15" t="s">
        <v>38</v>
      </c>
      <c r="C15" t="s">
        <v>37</v>
      </c>
      <c r="G15" t="s">
        <v>6</v>
      </c>
      <c r="H15" t="s">
        <v>6</v>
      </c>
    </row>
    <row r="16" spans="1:19" x14ac:dyDescent="0.25">
      <c r="B16" t="s">
        <v>42</v>
      </c>
      <c r="C16" t="s">
        <v>40</v>
      </c>
      <c r="D16" s="1">
        <v>28162</v>
      </c>
      <c r="G16" t="s">
        <v>23</v>
      </c>
    </row>
    <row r="17" spans="2:11" x14ac:dyDescent="0.25">
      <c r="B17" t="s">
        <v>45</v>
      </c>
      <c r="C17" t="s">
        <v>40</v>
      </c>
      <c r="D17" s="1">
        <v>27456</v>
      </c>
      <c r="G17" t="s">
        <v>23</v>
      </c>
      <c r="H17" t="s">
        <v>23</v>
      </c>
    </row>
    <row r="18" spans="2:11" x14ac:dyDescent="0.25">
      <c r="B18" t="s">
        <v>46</v>
      </c>
      <c r="C18" t="s">
        <v>40</v>
      </c>
      <c r="D18" s="1">
        <v>26644</v>
      </c>
      <c r="G18" t="s">
        <v>23</v>
      </c>
      <c r="H18" t="s">
        <v>23</v>
      </c>
    </row>
    <row r="19" spans="2:11" x14ac:dyDescent="0.25">
      <c r="B19" t="s">
        <v>41</v>
      </c>
      <c r="C19" t="s">
        <v>40</v>
      </c>
      <c r="D19" s="1">
        <v>28754</v>
      </c>
      <c r="G19" t="s">
        <v>23</v>
      </c>
    </row>
    <row r="20" spans="2:11" x14ac:dyDescent="0.25">
      <c r="B20" t="s">
        <v>43</v>
      </c>
      <c r="C20" t="s">
        <v>40</v>
      </c>
      <c r="D20" s="1">
        <v>25417</v>
      </c>
      <c r="G20" t="s">
        <v>23</v>
      </c>
      <c r="H20" t="s">
        <v>23</v>
      </c>
    </row>
    <row r="21" spans="2:11" x14ac:dyDescent="0.25">
      <c r="B21" t="s">
        <v>44</v>
      </c>
      <c r="C21" t="s">
        <v>40</v>
      </c>
      <c r="D21" s="1">
        <v>29026</v>
      </c>
      <c r="G21" t="s">
        <v>23</v>
      </c>
    </row>
    <row r="22" spans="2:11" x14ac:dyDescent="0.25">
      <c r="B22" t="s">
        <v>47</v>
      </c>
      <c r="C22" t="s">
        <v>48</v>
      </c>
      <c r="G22" t="s">
        <v>6</v>
      </c>
      <c r="H22" t="s">
        <v>6</v>
      </c>
    </row>
    <row r="23" spans="2:11" x14ac:dyDescent="0.25">
      <c r="B23" t="s">
        <v>49</v>
      </c>
      <c r="C23" t="s">
        <v>50</v>
      </c>
      <c r="G23" t="s">
        <v>6</v>
      </c>
      <c r="H23" t="s">
        <v>6</v>
      </c>
    </row>
    <row r="24" spans="2:11" x14ac:dyDescent="0.25">
      <c r="B24" t="s">
        <v>51</v>
      </c>
      <c r="C24" t="s">
        <v>53</v>
      </c>
      <c r="F24" t="s">
        <v>6</v>
      </c>
    </row>
    <row r="25" spans="2:11" x14ac:dyDescent="0.25">
      <c r="B25" t="s">
        <v>52</v>
      </c>
      <c r="C25" t="s">
        <v>53</v>
      </c>
      <c r="G25" t="s">
        <v>6</v>
      </c>
    </row>
    <row r="26" spans="2:11" x14ac:dyDescent="0.25">
      <c r="B26" t="s">
        <v>54</v>
      </c>
      <c r="C26" t="s">
        <v>55</v>
      </c>
      <c r="H26" t="s">
        <v>6</v>
      </c>
      <c r="I26" t="s">
        <v>6</v>
      </c>
    </row>
    <row r="27" spans="2:11" x14ac:dyDescent="0.25">
      <c r="B27" t="s">
        <v>17</v>
      </c>
      <c r="C27" t="s">
        <v>18</v>
      </c>
      <c r="K27" t="s">
        <v>6</v>
      </c>
    </row>
    <row r="28" spans="2:11" x14ac:dyDescent="0.25">
      <c r="B28" t="s">
        <v>28</v>
      </c>
      <c r="C28" t="s">
        <v>29</v>
      </c>
      <c r="K28" t="s">
        <v>6</v>
      </c>
    </row>
    <row r="29" spans="2:11" x14ac:dyDescent="0.25">
      <c r="B29" t="s">
        <v>65</v>
      </c>
      <c r="C29" t="s">
        <v>66</v>
      </c>
      <c r="K29" t="s">
        <v>6</v>
      </c>
    </row>
    <row r="30" spans="2:11" x14ac:dyDescent="0.25">
      <c r="B30" t="s">
        <v>30</v>
      </c>
      <c r="C30" t="s">
        <v>22</v>
      </c>
      <c r="K30" t="s">
        <v>6</v>
      </c>
    </row>
    <row r="31" spans="2:11" x14ac:dyDescent="0.25">
      <c r="B31" t="s">
        <v>56</v>
      </c>
      <c r="C31" t="s">
        <v>32</v>
      </c>
      <c r="K31" t="s">
        <v>6</v>
      </c>
    </row>
    <row r="32" spans="2:11" x14ac:dyDescent="0.25">
      <c r="B32" t="s">
        <v>57</v>
      </c>
      <c r="C32" t="s">
        <v>58</v>
      </c>
      <c r="K32" t="s">
        <v>6</v>
      </c>
    </row>
    <row r="33" spans="1:12" x14ac:dyDescent="0.25">
      <c r="B33" t="s">
        <v>39</v>
      </c>
      <c r="C33" t="s">
        <v>37</v>
      </c>
      <c r="K33" t="s">
        <v>6</v>
      </c>
    </row>
    <row r="34" spans="1:12" x14ac:dyDescent="0.25">
      <c r="B34" t="s">
        <v>59</v>
      </c>
      <c r="C34" t="s">
        <v>40</v>
      </c>
      <c r="K34" t="s">
        <v>6</v>
      </c>
    </row>
    <row r="35" spans="1:12" x14ac:dyDescent="0.25">
      <c r="B35" t="s">
        <v>60</v>
      </c>
      <c r="C35" t="s">
        <v>40</v>
      </c>
      <c r="K35" t="s">
        <v>6</v>
      </c>
    </row>
    <row r="36" spans="1:12" x14ac:dyDescent="0.25">
      <c r="B36" t="s">
        <v>61</v>
      </c>
      <c r="C36" t="s">
        <v>62</v>
      </c>
      <c r="L36" t="s">
        <v>6</v>
      </c>
    </row>
    <row r="37" spans="1:12" x14ac:dyDescent="0.25">
      <c r="B37" t="s">
        <v>63</v>
      </c>
      <c r="C37" t="s">
        <v>50</v>
      </c>
      <c r="K37" t="s">
        <v>6</v>
      </c>
    </row>
    <row r="38" spans="1:12" x14ac:dyDescent="0.25">
      <c r="B38" t="s">
        <v>64</v>
      </c>
      <c r="C38" t="s">
        <v>67</v>
      </c>
      <c r="L38" t="s">
        <v>6</v>
      </c>
    </row>
    <row r="39" spans="1:12" x14ac:dyDescent="0.25">
      <c r="A39" t="s">
        <v>68</v>
      </c>
      <c r="E39">
        <f>SUBTOTAL(103,Table1[Women''s 35+])</f>
        <v>0</v>
      </c>
      <c r="F39">
        <f>SUBTOTAL(103,Table1[Women''s 50+])</f>
        <v>1</v>
      </c>
      <c r="G39">
        <f>SUBTOTAL(103,Table1[Men''s 40+])</f>
        <v>19</v>
      </c>
      <c r="H39">
        <f>SUBTOTAL(103,Table1[Men''s 50+])</f>
        <v>15</v>
      </c>
      <c r="I39">
        <f>SUBTOTAL(103,Table1[Men''s 60+])</f>
        <v>4</v>
      </c>
      <c r="J39">
        <f>SUBTOTAL(103,Table1[Ladies Doubles])</f>
        <v>0</v>
      </c>
      <c r="K39">
        <f>SUBTOTAL(103,Table1[Men''s Doubles])</f>
        <v>10</v>
      </c>
      <c r="L39">
        <f>SUBTOTAL(103,Table1[Mixed Doubles])</f>
        <v>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2254-F39C-4B28-9A70-DFB2A33C710A}">
  <dimension ref="A1:B8"/>
  <sheetViews>
    <sheetView workbookViewId="0">
      <selection activeCell="J18" sqref="J18"/>
    </sheetView>
  </sheetViews>
  <sheetFormatPr defaultRowHeight="15" x14ac:dyDescent="0.25"/>
  <cols>
    <col min="1" max="1" width="14.5703125" bestFit="1" customWidth="1"/>
  </cols>
  <sheetData>
    <row r="1" spans="1:2" x14ac:dyDescent="0.25">
      <c r="A1" s="8" t="s">
        <v>9</v>
      </c>
      <c r="B1" s="8">
        <f>SUBTOTAL(103,Table1[Women''s 35+])</f>
        <v>0</v>
      </c>
    </row>
    <row r="2" spans="1:2" x14ac:dyDescent="0.25">
      <c r="A2" s="8" t="s">
        <v>10</v>
      </c>
      <c r="B2" s="8">
        <f>SUBTOTAL(103,Table1[Women''s 50+])</f>
        <v>1</v>
      </c>
    </row>
    <row r="3" spans="1:2" x14ac:dyDescent="0.25">
      <c r="A3" s="7" t="s">
        <v>11</v>
      </c>
      <c r="B3" s="7">
        <f>SUBTOTAL(103,Table1[Men''s 40+])</f>
        <v>19</v>
      </c>
    </row>
    <row r="4" spans="1:2" x14ac:dyDescent="0.25">
      <c r="A4" s="7" t="s">
        <v>12</v>
      </c>
      <c r="B4" s="7">
        <f>SUBTOTAL(103,Table1[Men''s 50+])</f>
        <v>15</v>
      </c>
    </row>
    <row r="5" spans="1:2" x14ac:dyDescent="0.25">
      <c r="A5" s="7" t="s">
        <v>13</v>
      </c>
      <c r="B5" s="7">
        <f>SUBTOTAL(103,Table1[Men''s 60+])</f>
        <v>4</v>
      </c>
    </row>
    <row r="6" spans="1:2" x14ac:dyDescent="0.25">
      <c r="A6" s="8" t="s">
        <v>14</v>
      </c>
      <c r="B6" s="8">
        <f>SUBTOTAL(103,Table1[Ladies Doubles])</f>
        <v>0</v>
      </c>
    </row>
    <row r="7" spans="1:2" x14ac:dyDescent="0.25">
      <c r="A7" s="7" t="s">
        <v>15</v>
      </c>
      <c r="B7" s="7">
        <f>SUBTOTAL(103,Table1[Men''s Doubles])</f>
        <v>10</v>
      </c>
    </row>
    <row r="8" spans="1:2" x14ac:dyDescent="0.25">
      <c r="A8" s="8" t="s">
        <v>16</v>
      </c>
      <c r="B8" s="8">
        <f>SUBTOTAL(103,Table1[Mixed Doubles])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2026-07-21T09:08:11Z</dcterms:created>
  <dcterms:modified xsi:type="dcterms:W3CDTF">2026-09-07T17:19:03Z</dcterms:modified>
</cp:coreProperties>
</file>