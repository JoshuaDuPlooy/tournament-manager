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 tools\ravens-tournaments\Savets 2026\admin\Documents\"/>
    </mc:Choice>
  </mc:AlternateContent>
  <xr:revisionPtr revIDLastSave="0" documentId="8_{DA8AE221-128E-4BD0-B689-87B9B0F37A09}" xr6:coauthVersionLast="47" xr6:coauthVersionMax="47" xr10:uidLastSave="{00000000-0000-0000-0000-000000000000}"/>
  <bookViews>
    <workbookView xWindow="-120" yWindow="-120" windowWidth="29040" windowHeight="15720" xr2:uid="{B0F5ED49-6EC1-4BCC-98C5-08FCE023A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" i="1" l="1"/>
</calcChain>
</file>

<file path=xl/sharedStrings.xml><?xml version="1.0" encoding="utf-8"?>
<sst xmlns="http://schemas.openxmlformats.org/spreadsheetml/2006/main" count="214" uniqueCount="204">
  <si>
    <t>time</t>
  </si>
  <si>
    <t>day</t>
  </si>
  <si>
    <t>Friday</t>
  </si>
  <si>
    <t>Saturday</t>
  </si>
  <si>
    <t>Estimates</t>
  </si>
  <si>
    <t>50+ Mens</t>
  </si>
  <si>
    <t>40+ Mens</t>
  </si>
  <si>
    <t>60+ Mens</t>
  </si>
  <si>
    <t>70+ Mens</t>
  </si>
  <si>
    <t>35+ Ladies</t>
  </si>
  <si>
    <t>50+ Ladies</t>
  </si>
  <si>
    <t>Singles</t>
  </si>
  <si>
    <t>Doubles (pairs)</t>
  </si>
  <si>
    <t>Medal Ceremony</t>
  </si>
  <si>
    <t>32 pairs max</t>
  </si>
  <si>
    <t>8 pairs max</t>
  </si>
  <si>
    <t>mix</t>
  </si>
  <si>
    <t>16 pairs max</t>
  </si>
  <si>
    <t>48 max</t>
  </si>
  <si>
    <t>40+ Mens Group 10</t>
  </si>
  <si>
    <t>40+ Mens Group 11</t>
  </si>
  <si>
    <t>40+ Mens Group 12</t>
  </si>
  <si>
    <t>40+ Mens Group 13</t>
  </si>
  <si>
    <t>40+ Mens Group 14</t>
  </si>
  <si>
    <t>40+ Mens Group 15</t>
  </si>
  <si>
    <t>40+ Mens Group 16</t>
  </si>
  <si>
    <t>24 max</t>
  </si>
  <si>
    <t>40+ Mens Doubles Round 16 Match 1</t>
  </si>
  <si>
    <t>40+ Mens Doubles Round 16 Match 2</t>
  </si>
  <si>
    <t>40+ Mens Doubles Round 16 Match 3</t>
  </si>
  <si>
    <t>40+ Mens Doubles Round 16 Match 4</t>
  </si>
  <si>
    <t>40+ Mens Doubles Round 16 Match 5</t>
  </si>
  <si>
    <t>40+ Mens Doubles Round 16 Match 6</t>
  </si>
  <si>
    <t>40+ Mens Doubles Round 16 Match 7</t>
  </si>
  <si>
    <t>40+ Mens Doubles Round 16 Match 8</t>
  </si>
  <si>
    <t>40+ Mens Doubles Quater Match 1</t>
  </si>
  <si>
    <t>40+ Mens Doubles Quater Match 2</t>
  </si>
  <si>
    <t>40+ Mens Doubles Quater Match 3</t>
  </si>
  <si>
    <t>40+ Mens Doubles Quater Match 4</t>
  </si>
  <si>
    <t>50+ Mens Doubles Quater Match 1</t>
  </si>
  <si>
    <t>50+ Mens Doubles Quater Match 2</t>
  </si>
  <si>
    <t>50+ Mens Doubles Quater Match 3</t>
  </si>
  <si>
    <t>50+ Mens Doubles Quater Match 4</t>
  </si>
  <si>
    <t>40+ Mens Doubles Semi Match 1</t>
  </si>
  <si>
    <t>35+ Ladies Doubles Quater Match 1</t>
  </si>
  <si>
    <t>35+ Ladies Doubles Quater Match 2</t>
  </si>
  <si>
    <t>35+ Ladies Doubles Quater Match 3</t>
  </si>
  <si>
    <t>35+ Ladies Doubles Quater Match 4</t>
  </si>
  <si>
    <t>60+ Mens Doubles Quater Match 1</t>
  </si>
  <si>
    <t>60+ Mens Doubles Quater Match 2</t>
  </si>
  <si>
    <t>60+ Mens Doubles Quater Match 3</t>
  </si>
  <si>
    <t>60+ Mens Doubles Quater Match 4</t>
  </si>
  <si>
    <t>40+ Mens Doubles Semi Match 2</t>
  </si>
  <si>
    <t>50+ Mens Doubles Semi Match 1</t>
  </si>
  <si>
    <t>50+ Mens Doubles Semi Match 2</t>
  </si>
  <si>
    <t>60+ Mens Doubles Semi Match 1</t>
  </si>
  <si>
    <t>60+ Mens Doubles Semi Match 2</t>
  </si>
  <si>
    <t>35+ Ladies Doubles Semi Match 1</t>
  </si>
  <si>
    <t>35+ Ladies Doubles Semi Match 2</t>
  </si>
  <si>
    <t>40+ Mens Doubles Final Match 1</t>
  </si>
  <si>
    <t>50+ Mens Doubles Final Match 1</t>
  </si>
  <si>
    <t>60+ Mens Doubles Final Match 1</t>
  </si>
  <si>
    <t>35+ Ladies Doubles Final Match 1</t>
  </si>
  <si>
    <t>40+ Mens Singles Group 1</t>
  </si>
  <si>
    <t>40+ Mens Singles Group 2</t>
  </si>
  <si>
    <t>40+ Mens Singles Group 3</t>
  </si>
  <si>
    <t>40+ Mens Singles Group 4</t>
  </si>
  <si>
    <t>40+ Mens Singles Group 5</t>
  </si>
  <si>
    <t>40+ Mens Singles Group 6</t>
  </si>
  <si>
    <t>40+ Mens Singles Group 7</t>
  </si>
  <si>
    <t>40+ Mens Singles Group 8</t>
  </si>
  <si>
    <t>40+ Mens Singles Group 9</t>
  </si>
  <si>
    <t>50+ Mens Singles Group 1</t>
  </si>
  <si>
    <t>50+ Mens Singles Group 2</t>
  </si>
  <si>
    <t>50+ Mens Singles Group 3</t>
  </si>
  <si>
    <t>50+ Mens Singles Group 4</t>
  </si>
  <si>
    <t>50+ Mens Singles Group 5</t>
  </si>
  <si>
    <t>50+ Mens Singles Group 6</t>
  </si>
  <si>
    <t>50+ Mens Singles Group 7</t>
  </si>
  <si>
    <t>50+ Mens Singles Group 8</t>
  </si>
  <si>
    <t>50+ Mens Singles Group 9</t>
  </si>
  <si>
    <t>50+ Mens Singles Group 10</t>
  </si>
  <si>
    <t>50+ Mens Singles Group 11</t>
  </si>
  <si>
    <t>50+ Mens Singles Group 12</t>
  </si>
  <si>
    <t>50+ Mens Singles Group 13</t>
  </si>
  <si>
    <t>50+ Mens Singles Group 14</t>
  </si>
  <si>
    <t>50+ Mens Singles Group 15</t>
  </si>
  <si>
    <t>50+ Mens Singles Group 16</t>
  </si>
  <si>
    <t>60+ Mens Singles Group 1</t>
  </si>
  <si>
    <t>35+ Ladies Singles Group 1</t>
  </si>
  <si>
    <t>60+ Mens Singles Group 2</t>
  </si>
  <si>
    <t>60+ Mens Singles Group 3</t>
  </si>
  <si>
    <t>60+ Mens Singles Group 4</t>
  </si>
  <si>
    <t>60+ Mens Singles Group 5</t>
  </si>
  <si>
    <t>60+ Mens Singles Group 6</t>
  </si>
  <si>
    <t>60+ Mens Singles Group 7</t>
  </si>
  <si>
    <t>60+ Mens Singles Group 8</t>
  </si>
  <si>
    <t>35+ Ladies Singles Group 2</t>
  </si>
  <si>
    <t>35+ Ladies Singles Group 3</t>
  </si>
  <si>
    <t>35+ Ladies Singles Group 4</t>
  </si>
  <si>
    <t>35+ Ladies Singles Group 5</t>
  </si>
  <si>
    <t>35+ Ladies Singles Group 6</t>
  </si>
  <si>
    <t>35+ Ladies Singles Group 7</t>
  </si>
  <si>
    <t>35+ Ladies Singles Group 8</t>
  </si>
  <si>
    <t>40+ Mens Singles Round 32 Match 1</t>
  </si>
  <si>
    <t>40+ Mens Singles Round 32 Match 2</t>
  </si>
  <si>
    <t>40+ Mens Singles Round 32 Match 3</t>
  </si>
  <si>
    <t>40+ Mens Singles Round 32 Match 4</t>
  </si>
  <si>
    <t>40+ Mens Singles Round 32 Match 5</t>
  </si>
  <si>
    <t>40+ Mens Singles Round 32 Match 6</t>
  </si>
  <si>
    <t>40+ Mens Singles Round 32 Match 7</t>
  </si>
  <si>
    <t>40+ Mens Singles Round 32 Match 8</t>
  </si>
  <si>
    <t>40+ Mens Singles Round 32 Match 9</t>
  </si>
  <si>
    <t>40+ Mens Singles Round 32 Match 10</t>
  </si>
  <si>
    <t>40+ Mens Singles Round 32 Match 11</t>
  </si>
  <si>
    <t>40+ Mens Singles Round 32 Match 12</t>
  </si>
  <si>
    <t>40+ Mens Singles Round 32 Match 13</t>
  </si>
  <si>
    <t>40+ Mens Singles Round 32 Match 14</t>
  </si>
  <si>
    <t>40+ Mens Singles Round 32 Match 15</t>
  </si>
  <si>
    <t>40+ Mens Singles Round 32 Match 16</t>
  </si>
  <si>
    <t>50+ Mens Singles Round 32 Match 1</t>
  </si>
  <si>
    <t>50+ Mens Singles Round 32 Match 2</t>
  </si>
  <si>
    <t>50+ Mens Singles Round 32 Match 3</t>
  </si>
  <si>
    <t>50+ Mens Singles Round 32 Match 4</t>
  </si>
  <si>
    <t>50+ Mens Singles Round 32 Match 5</t>
  </si>
  <si>
    <t>50+ Mens Singles Round 32 Match 6</t>
  </si>
  <si>
    <t>50+ Mens Singles Round 32 Match 7</t>
  </si>
  <si>
    <t>50+ Mens Singles Round 32 Match 8</t>
  </si>
  <si>
    <t>50+ Mens Singles Round 32 Match 9</t>
  </si>
  <si>
    <t>50+ Mens Singles Round 32 Match 10</t>
  </si>
  <si>
    <t>50+ Mens Singles Round 32 Match 11</t>
  </si>
  <si>
    <t>50+ Mens Singles Round 32 Match 12</t>
  </si>
  <si>
    <t>50+ Mens Singles Round 32 Match 13</t>
  </si>
  <si>
    <t>50+ Mens Singles Round 32 Match 14</t>
  </si>
  <si>
    <t>50+ Mens Singles Round 32 Match 15</t>
  </si>
  <si>
    <t>50+ Mens Singles Round 32 Match 16</t>
  </si>
  <si>
    <t>40+ Mens Singles Round 16 Match 1</t>
  </si>
  <si>
    <t>40+ Mens Singles Round 16 Match 2</t>
  </si>
  <si>
    <t>40+ Mens Singles Round 16 Match 3</t>
  </si>
  <si>
    <t>40+ Mens Singles Round 16 Match 4</t>
  </si>
  <si>
    <t>40+ Mens Singles Round 16 Match 5</t>
  </si>
  <si>
    <t>40+ Mens Singles Round 16 Match 6</t>
  </si>
  <si>
    <t>40+ Mens Singles Round 16 Match 7</t>
  </si>
  <si>
    <t>40+ Mens Singles Round 16 Match 8</t>
  </si>
  <si>
    <t>50+ Mens Singles Round 16 Match 1</t>
  </si>
  <si>
    <t>50+ Mens Singles Round 16 Match 2</t>
  </si>
  <si>
    <t>50+ Mens Singles Round 16 Match 3</t>
  </si>
  <si>
    <t>50+ Mens Singles Round 16 Match 4</t>
  </si>
  <si>
    <t>50+ Mens Singles Round 16 Match 5</t>
  </si>
  <si>
    <t>50+ Mens Singles Round 16 Match 6</t>
  </si>
  <si>
    <t>50+ Mens Singles Round 16 Match 7</t>
  </si>
  <si>
    <t>50+ Mens Singles Round 16 Match 8</t>
  </si>
  <si>
    <t>60+ Mens Singles Round 16 Match 1</t>
  </si>
  <si>
    <t>60+ Mens Singles Round 16 Match 2</t>
  </si>
  <si>
    <t>60+ Mens Singles Round 16 Match 3</t>
  </si>
  <si>
    <t>60+ Mens Singles Round 16 Match 4</t>
  </si>
  <si>
    <t>60+ Mens Singles Round 16 Match 5</t>
  </si>
  <si>
    <t>60+ Mens Singles Round 16 Match 6</t>
  </si>
  <si>
    <t>60+ Mens Singles Round 16 Match 7</t>
  </si>
  <si>
    <t>60+ Mens Singles Round 16 Match 8</t>
  </si>
  <si>
    <t>35+ Ladies Singles Round 16 Match 1</t>
  </si>
  <si>
    <t>35+ Ladies Singles Round 16 Match 2</t>
  </si>
  <si>
    <t>35+ Ladies Singles Round 16 Match 3</t>
  </si>
  <si>
    <t>35+ Ladies Singles Round 16 Match 4</t>
  </si>
  <si>
    <t>35+ Ladies Singles Round 16 Match 5</t>
  </si>
  <si>
    <t>35+ Ladies Singles Round 16 Match 6</t>
  </si>
  <si>
    <t>35+ Ladies Singles Round 16 Match 7</t>
  </si>
  <si>
    <t>35+ Ladies Singles Round 16 Match 8</t>
  </si>
  <si>
    <t>40+ Mens Singles Quater Match 1</t>
  </si>
  <si>
    <t>40+ Mens Singles Quater Match 2</t>
  </si>
  <si>
    <t>40+ Mens Singles Quater Match 3</t>
  </si>
  <si>
    <t>40+ Mens Singles Quater Match 4</t>
  </si>
  <si>
    <t>60+ Mens Singles Quater Match 1</t>
  </si>
  <si>
    <t>60+ Mens Singles Quater Match 2</t>
  </si>
  <si>
    <t>60+ Mens Singles Quater Match 3</t>
  </si>
  <si>
    <t>60+ Mens Singles Quater Match 4</t>
  </si>
  <si>
    <t>50+ Mens Singles Quater Match 1</t>
  </si>
  <si>
    <t>50+ Mens Singles Quater Match 2</t>
  </si>
  <si>
    <t>50+ Mens Singles Quater Match 3</t>
  </si>
  <si>
    <t>50+ Mens Singles Quater Match 4</t>
  </si>
  <si>
    <t>35+ Ladies Singles Quater Match 1</t>
  </si>
  <si>
    <t>35+ Ladies Singles Quater Match 2</t>
  </si>
  <si>
    <t>35+ Ladies Singles Quater Match 3</t>
  </si>
  <si>
    <t>35+ Ladies Singles Quater Match 4</t>
  </si>
  <si>
    <t>40+ Mens Singles Semi Match 1</t>
  </si>
  <si>
    <t>40+ Mens Singles Semi Match 2</t>
  </si>
  <si>
    <t>60+ Mens Singles Semi Match 1</t>
  </si>
  <si>
    <t>60+ Mens Singles Semi Match 2</t>
  </si>
  <si>
    <t>50+ Mens Singles Semi Match 1</t>
  </si>
  <si>
    <t>50+ Mens Singles Semi Match 2</t>
  </si>
  <si>
    <t>35+ Ladies Singles Semi Match 1</t>
  </si>
  <si>
    <t>35+ Ladies Singles Semi Match 2</t>
  </si>
  <si>
    <t>40+ Mens Singles Final Match 1</t>
  </si>
  <si>
    <t>60+ Mens Singles Final Match 1</t>
  </si>
  <si>
    <t>50+ Mens Singles Final Match 1</t>
  </si>
  <si>
    <t>35+ Ladies Singles Final Match 1</t>
  </si>
  <si>
    <t>70+ Mens Singles Group 1</t>
  </si>
  <si>
    <t>50+ Ladies Singles Group 1</t>
  </si>
  <si>
    <t>Mix Doubles Quarter Match 1</t>
  </si>
  <si>
    <t>Mix Doubles Quarter Match 2</t>
  </si>
  <si>
    <t>Mix Doubles Quarter Match 3</t>
  </si>
  <si>
    <t>Mix Doubles Quarter Match 4</t>
  </si>
  <si>
    <t>Mix Doubles Semi Match 1</t>
  </si>
  <si>
    <t>Mix Doubles Semi Match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</si>
</sst>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A57-C62C-4F9F-8347-603D9415B749}">
  <dimension ref="A1:S30"/>
  <sheetViews>
    <sheetView tabSelected="1" workbookViewId="0">
      <selection activeCell="M7" sqref="M7"/>
    </sheetView>
  </sheetViews>
  <sheetFormatPr defaultRowHeight="15" x14ac:dyDescent="0.25"/>
  <cols>
    <col min="1" max="2" width="9.140625" style="2"/>
    <col min="3" max="10" width="10.5703125" style="2" customWidth="1"/>
    <col min="11" max="11" width="9.140625" style="2"/>
    <col min="12" max="12" width="13.28515625" style="2" customWidth="1"/>
    <col min="13" max="16" width="9.140625" style="2"/>
    <col min="17" max="18" width="10.140625" style="2" bestFit="1" customWidth="1"/>
    <col min="19" max="16384" width="9.140625" style="2"/>
  </cols>
  <sheetData>
    <row r="1" spans="1:19" x14ac:dyDescent="0.25">
      <c r="A1" s="2" t="s">
        <v>1</v>
      </c>
      <c r="B1" s="2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L1" s="2" t="s">
        <v>4</v>
      </c>
      <c r="M1" s="2" t="s">
        <v>6</v>
      </c>
      <c r="N1" s="2" t="s">
        <v>5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16</v>
      </c>
    </row>
    <row r="2" spans="1:19" ht="60" x14ac:dyDescent="0.25">
      <c r="A2" s="2" t="s">
        <v>2</v>
      </c>
      <c r="B2" s="3">
        <v>0.8125</v>
      </c>
      <c r="C2" s="2" t="s">
        <v>198</v>
      </c>
      <c r="D2" s="2" t="s">
        <v>199</v>
      </c>
      <c r="E2" s="2" t="s">
        <v>200</v>
      </c>
      <c r="F2" s="2" t="s">
        <v>201</v>
      </c>
      <c r="L2" s="2" t="s">
        <v>11</v>
      </c>
      <c r="M2" s="2" t="s">
        <v>18</v>
      </c>
      <c r="N2" s="2" t="s">
        <v>18</v>
      </c>
      <c r="O2" s="2" t="s">
        <v>26</v>
      </c>
      <c r="P2" s="2">
        <v>4</v>
      </c>
      <c r="Q2" s="2" t="s">
        <v>26</v>
      </c>
      <c r="R2" s="2">
        <v>4</v>
      </c>
    </row>
    <row r="3" spans="1:19" ht="60" x14ac:dyDescent="0.25">
      <c r="B3" s="3">
        <v>0.83333333333333337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L3" s="2" t="s">
        <v>12</v>
      </c>
      <c r="M3" s="2" t="s">
        <v>14</v>
      </c>
      <c r="N3" s="2" t="s">
        <v>17</v>
      </c>
      <c r="O3" s="2" t="s">
        <v>15</v>
      </c>
      <c r="Q3" s="2" t="s">
        <v>15</v>
      </c>
      <c r="S3" s="2" t="s">
        <v>17</v>
      </c>
    </row>
    <row r="4" spans="1:19" ht="60" x14ac:dyDescent="0.25">
      <c r="B4" s="3">
        <v>0.85416666666666696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44</v>
      </c>
      <c r="H4" s="2" t="s">
        <v>45</v>
      </c>
      <c r="I4" s="2" t="s">
        <v>46</v>
      </c>
      <c r="J4" s="2" t="s">
        <v>47</v>
      </c>
    </row>
    <row r="5" spans="1:19" ht="60" x14ac:dyDescent="0.25">
      <c r="B5" s="3">
        <v>0.875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48</v>
      </c>
      <c r="H5" s="2" t="s">
        <v>49</v>
      </c>
      <c r="I5" s="2" t="s">
        <v>50</v>
      </c>
      <c r="J5" s="2" t="s">
        <v>51</v>
      </c>
    </row>
    <row r="6" spans="1:19" ht="60" x14ac:dyDescent="0.25">
      <c r="B6" s="3">
        <v>0.89583333333333304</v>
      </c>
      <c r="C6" s="2" t="s">
        <v>43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P6" s="2">
        <f>16*3</f>
        <v>48</v>
      </c>
    </row>
    <row r="7" spans="1:19" ht="60" x14ac:dyDescent="0.25">
      <c r="B7" s="3">
        <v>0.91666666666666696</v>
      </c>
      <c r="C7" s="2" t="s">
        <v>202</v>
      </c>
      <c r="D7" s="2" t="s">
        <v>203</v>
      </c>
    </row>
    <row r="8" spans="1:19" ht="60" x14ac:dyDescent="0.25">
      <c r="B8" s="3">
        <v>0.9375</v>
      </c>
      <c r="C8" s="2" t="s">
        <v>59</v>
      </c>
      <c r="D8" s="2" t="s">
        <v>60</v>
      </c>
      <c r="E8" s="2" t="s">
        <v>61</v>
      </c>
      <c r="F8" s="2" t="s">
        <v>62</v>
      </c>
      <c r="G8" s="1"/>
      <c r="H8" s="1"/>
      <c r="I8" s="1"/>
      <c r="J8" s="1"/>
    </row>
    <row r="10" spans="1:19" ht="45" x14ac:dyDescent="0.25">
      <c r="A10" s="2" t="s">
        <v>3</v>
      </c>
      <c r="B10" s="3">
        <v>0.35416666666666669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69</v>
      </c>
      <c r="J10" s="2" t="s">
        <v>70</v>
      </c>
    </row>
    <row r="11" spans="1:19" ht="45" x14ac:dyDescent="0.25">
      <c r="B11" s="3">
        <v>0.39583333333333331</v>
      </c>
      <c r="C11" s="2" t="s">
        <v>71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</row>
    <row r="12" spans="1:19" ht="45" x14ac:dyDescent="0.25">
      <c r="B12" s="3">
        <v>0.4375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  <c r="J12" s="2" t="s">
        <v>79</v>
      </c>
    </row>
    <row r="13" spans="1:19" ht="45" x14ac:dyDescent="0.25">
      <c r="B13" s="3">
        <v>0.47916666666666702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86</v>
      </c>
      <c r="J13" s="2" t="s">
        <v>87</v>
      </c>
    </row>
    <row r="14" spans="1:19" ht="45" x14ac:dyDescent="0.25">
      <c r="B14" s="3">
        <v>0.52083333333333404</v>
      </c>
      <c r="C14" s="2" t="s">
        <v>88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95</v>
      </c>
      <c r="J14" s="2" t="s">
        <v>96</v>
      </c>
    </row>
    <row r="15" spans="1:19" ht="45" x14ac:dyDescent="0.25">
      <c r="B15" s="3">
        <v>0.5625</v>
      </c>
      <c r="C15" s="2" t="s">
        <v>89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102</v>
      </c>
      <c r="J15" s="2" t="s">
        <v>103</v>
      </c>
    </row>
    <row r="16" spans="1:19" ht="60" x14ac:dyDescent="0.25">
      <c r="B16" s="3">
        <v>0.60416666666666696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110</v>
      </c>
      <c r="J16" s="2" t="s">
        <v>111</v>
      </c>
    </row>
    <row r="17" spans="2:10" ht="60" x14ac:dyDescent="0.25">
      <c r="B17" s="3">
        <v>0.625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118</v>
      </c>
      <c r="J17" s="2" t="s">
        <v>119</v>
      </c>
    </row>
    <row r="18" spans="2:10" ht="60" x14ac:dyDescent="0.25">
      <c r="B18" s="3">
        <v>0.64583333333333304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124</v>
      </c>
      <c r="H18" s="2" t="s">
        <v>125</v>
      </c>
      <c r="I18" s="2" t="s">
        <v>126</v>
      </c>
      <c r="J18" s="2" t="s">
        <v>127</v>
      </c>
    </row>
    <row r="19" spans="2:10" ht="60" x14ac:dyDescent="0.25">
      <c r="B19" s="3">
        <v>0.66666666666666596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  <c r="J19" s="2" t="s">
        <v>135</v>
      </c>
    </row>
    <row r="20" spans="2:10" ht="60" x14ac:dyDescent="0.25">
      <c r="B20" s="3">
        <v>0.687499999999999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2" t="s">
        <v>142</v>
      </c>
      <c r="J20" s="2" t="s">
        <v>143</v>
      </c>
    </row>
    <row r="21" spans="2:10" ht="60" x14ac:dyDescent="0.25">
      <c r="B21" s="3">
        <v>0.70833333333333204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149</v>
      </c>
      <c r="I21" s="2" t="s">
        <v>150</v>
      </c>
      <c r="J21" s="2" t="s">
        <v>151</v>
      </c>
    </row>
    <row r="22" spans="2:10" ht="60" x14ac:dyDescent="0.25">
      <c r="B22" s="3">
        <v>0.72916666666666496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157</v>
      </c>
      <c r="I22" s="2" t="s">
        <v>158</v>
      </c>
      <c r="J22" s="2" t="s">
        <v>159</v>
      </c>
    </row>
    <row r="23" spans="2:10" ht="60" x14ac:dyDescent="0.25">
      <c r="B23" s="3">
        <v>0.749999999999998</v>
      </c>
      <c r="C23" s="2" t="s">
        <v>160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165</v>
      </c>
      <c r="I23" s="2" t="s">
        <v>166</v>
      </c>
      <c r="J23" s="2" t="s">
        <v>167</v>
      </c>
    </row>
    <row r="24" spans="2:10" ht="60" x14ac:dyDescent="0.25">
      <c r="B24" s="3">
        <v>0.77083333333333104</v>
      </c>
      <c r="C24" s="2" t="s">
        <v>168</v>
      </c>
      <c r="D24" s="2" t="s">
        <v>169</v>
      </c>
      <c r="E24" s="2" t="s">
        <v>170</v>
      </c>
      <c r="F24" s="2" t="s">
        <v>171</v>
      </c>
      <c r="G24" s="2" t="s">
        <v>172</v>
      </c>
      <c r="H24" s="2" t="s">
        <v>173</v>
      </c>
      <c r="I24" s="2" t="s">
        <v>174</v>
      </c>
      <c r="J24" s="2" t="s">
        <v>175</v>
      </c>
    </row>
    <row r="25" spans="2:10" ht="60" x14ac:dyDescent="0.25">
      <c r="B25" s="3">
        <v>0.79166666666666397</v>
      </c>
      <c r="C25" s="2" t="s">
        <v>176</v>
      </c>
      <c r="D25" s="2" t="s">
        <v>177</v>
      </c>
      <c r="E25" s="2" t="s">
        <v>178</v>
      </c>
      <c r="F25" s="2" t="s">
        <v>179</v>
      </c>
      <c r="G25" s="2" t="s">
        <v>180</v>
      </c>
      <c r="H25" s="2" t="s">
        <v>181</v>
      </c>
      <c r="I25" s="2" t="s">
        <v>182</v>
      </c>
      <c r="J25" s="2" t="s">
        <v>183</v>
      </c>
    </row>
    <row r="26" spans="2:10" ht="60" x14ac:dyDescent="0.25">
      <c r="B26" s="3">
        <v>0.812499999999997</v>
      </c>
      <c r="C26" s="2" t="s">
        <v>184</v>
      </c>
      <c r="D26" s="2" t="s">
        <v>185</v>
      </c>
      <c r="E26" s="2" t="s">
        <v>186</v>
      </c>
      <c r="F26" s="2" t="s">
        <v>187</v>
      </c>
      <c r="G26" s="2" t="s">
        <v>196</v>
      </c>
      <c r="H26" s="2" t="s">
        <v>196</v>
      </c>
      <c r="I26" s="2" t="s">
        <v>197</v>
      </c>
      <c r="J26" s="2" t="s">
        <v>197</v>
      </c>
    </row>
    <row r="27" spans="2:10" ht="60" x14ac:dyDescent="0.25">
      <c r="B27" s="3">
        <v>0.85416666666666397</v>
      </c>
      <c r="C27" s="2" t="s">
        <v>188</v>
      </c>
      <c r="D27" s="2" t="s">
        <v>189</v>
      </c>
      <c r="E27" s="2" t="s">
        <v>190</v>
      </c>
      <c r="F27" s="2" t="s">
        <v>191</v>
      </c>
      <c r="G27" s="2" t="s">
        <v>196</v>
      </c>
      <c r="H27" s="2" t="s">
        <v>196</v>
      </c>
      <c r="I27" s="2" t="s">
        <v>197</v>
      </c>
      <c r="J27" s="2" t="s">
        <v>197</v>
      </c>
    </row>
    <row r="28" spans="2:10" ht="60" x14ac:dyDescent="0.25">
      <c r="B28" s="3">
        <v>0.89583333333333104</v>
      </c>
      <c r="C28" s="2" t="s">
        <v>192</v>
      </c>
      <c r="D28" s="2" t="s">
        <v>193</v>
      </c>
    </row>
    <row r="29" spans="2:10" ht="60" x14ac:dyDescent="0.25">
      <c r="B29" s="3">
        <v>0.937499999999997</v>
      </c>
      <c r="C29" s="2" t="s">
        <v>194</v>
      </c>
      <c r="D29" s="2" t="s">
        <v>195</v>
      </c>
    </row>
    <row r="30" spans="2:10" ht="30" customHeight="1" x14ac:dyDescent="0.25">
      <c r="B30" s="3">
        <v>0.95833333333333337</v>
      </c>
      <c r="C30" s="4" t="s">
        <v>13</v>
      </c>
      <c r="D30" s="4"/>
      <c r="E30" s="4"/>
      <c r="F30" s="4"/>
      <c r="G30" s="4"/>
      <c r="H30" s="4"/>
      <c r="I30" s="4"/>
      <c r="J30" s="4"/>
    </row>
  </sheetData>
  <mergeCells count="1">
    <mergeCell ref="C30:J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2026-08-13T12:05:47Z</dcterms:created>
  <dcterms:modified xsi:type="dcterms:W3CDTF">2026-08-13T12:59:33Z</dcterms:modified>
</cp:coreProperties>
</file>