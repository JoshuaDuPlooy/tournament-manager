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18632a768dc911/Desktop/"/>
    </mc:Choice>
  </mc:AlternateContent>
  <xr:revisionPtr revIDLastSave="0" documentId="8_{FB28CE9C-0CA1-40A3-A1D9-AA05E0366BA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ETS SINGLES" sheetId="7" r:id="rId1"/>
    <sheet name="VETS DOUBLES" sheetId="15" r:id="rId2"/>
  </sheets>
  <definedNames>
    <definedName name="_xlnm._FilterDatabase" localSheetId="1" hidden="1">'VETS DOUBLES'!$A$5:$I$25</definedName>
    <definedName name="_xlnm._FilterDatabase" localSheetId="0" hidden="1">'VETS SINGLES'!$A$5:$L$29</definedName>
    <definedName name="_xlnm.Print_Area" localSheetId="1">'VETS DOUBLES'!$A$1:$K$32</definedName>
    <definedName name="_xlnm.Print_Area" localSheetId="0">'VETS SINGLES'!$A$1:$N$36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5" l="1"/>
  <c r="K30" i="7"/>
  <c r="J30" i="7"/>
  <c r="I30" i="7"/>
  <c r="G26" i="15"/>
  <c r="J25" i="15"/>
  <c r="I25" i="15" s="1"/>
  <c r="J24" i="15"/>
  <c r="I24" i="15" s="1"/>
  <c r="J23" i="15"/>
  <c r="I23" i="15" s="1"/>
  <c r="J22" i="15"/>
  <c r="I22" i="15" s="1"/>
  <c r="J21" i="15"/>
  <c r="I21" i="15" s="1"/>
  <c r="J20" i="15"/>
  <c r="I20" i="15" s="1"/>
  <c r="J19" i="15"/>
  <c r="I19" i="15" s="1"/>
  <c r="J18" i="15"/>
  <c r="I18" i="15" s="1"/>
  <c r="J17" i="15"/>
  <c r="I17" i="15" s="1"/>
  <c r="J16" i="15"/>
  <c r="I16" i="15" s="1"/>
  <c r="J15" i="15"/>
  <c r="I15" i="15" s="1"/>
  <c r="J14" i="15"/>
  <c r="I14" i="15" s="1"/>
  <c r="J13" i="15"/>
  <c r="I13" i="15" s="1"/>
  <c r="J12" i="15"/>
  <c r="I12" i="15" s="1"/>
  <c r="J11" i="15"/>
  <c r="I11" i="15" s="1"/>
  <c r="J10" i="15"/>
  <c r="J9" i="15"/>
  <c r="J8" i="15"/>
  <c r="J7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J6" i="15"/>
  <c r="M22" i="7"/>
  <c r="L22" i="7" s="1"/>
  <c r="M23" i="7"/>
  <c r="L23" i="7" s="1"/>
  <c r="M24" i="7"/>
  <c r="L24" i="7" s="1"/>
  <c r="M25" i="7"/>
  <c r="L25" i="7" s="1"/>
  <c r="M6" i="7" l="1"/>
  <c r="L6" i="7" s="1"/>
  <c r="M7" i="7"/>
  <c r="L7" i="7" s="1"/>
  <c r="M8" i="7"/>
  <c r="L8" i="7" s="1"/>
  <c r="M9" i="7"/>
  <c r="L9" i="7" s="1"/>
  <c r="M10" i="7"/>
  <c r="L10" i="7" s="1"/>
  <c r="M11" i="7"/>
  <c r="L11" i="7" s="1"/>
  <c r="M12" i="7"/>
  <c r="L12" i="7" s="1"/>
  <c r="M13" i="7"/>
  <c r="L13" i="7" s="1"/>
  <c r="M14" i="7"/>
  <c r="L14" i="7" s="1"/>
  <c r="M15" i="7"/>
  <c r="L15" i="7" s="1"/>
  <c r="M16" i="7"/>
  <c r="L16" i="7" s="1"/>
  <c r="M17" i="7"/>
  <c r="L17" i="7" s="1"/>
  <c r="M18" i="7"/>
  <c r="L18" i="7" s="1"/>
  <c r="M19" i="7"/>
  <c r="L19" i="7" s="1"/>
  <c r="M20" i="7"/>
  <c r="L20" i="7" s="1"/>
  <c r="M21" i="7"/>
  <c r="L21" i="7" s="1"/>
  <c r="M26" i="7"/>
  <c r="L26" i="7" s="1"/>
  <c r="M27" i="7"/>
  <c r="L27" i="7" s="1"/>
  <c r="M28" i="7"/>
  <c r="L28" i="7" s="1"/>
  <c r="M29" i="7"/>
  <c r="L29" i="7" s="1"/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L30" i="7" l="1"/>
  <c r="L35" i="7" s="1"/>
</calcChain>
</file>

<file path=xl/sharedStrings.xml><?xml version="1.0" encoding="utf-8"?>
<sst xmlns="http://schemas.openxmlformats.org/spreadsheetml/2006/main" count="90" uniqueCount="51">
  <si>
    <t>Date of Birth</t>
  </si>
  <si>
    <t>Women's 35+</t>
  </si>
  <si>
    <t>Number of Entries</t>
  </si>
  <si>
    <t>Club</t>
  </si>
  <si>
    <t>No.</t>
  </si>
  <si>
    <t>Name &amp; Surname</t>
  </si>
  <si>
    <t>Column1</t>
  </si>
  <si>
    <t>Women's 50+</t>
  </si>
  <si>
    <t>Men's 
40+</t>
  </si>
  <si>
    <t>Men's 
50+</t>
  </si>
  <si>
    <t>Men's 
60+</t>
  </si>
  <si>
    <t>Men's 
70+</t>
  </si>
  <si>
    <t>Date:</t>
  </si>
  <si>
    <t>Please mark selected category with an "X"</t>
  </si>
  <si>
    <t>Venue:</t>
  </si>
  <si>
    <t>Entries together with payments must be submitted on or before</t>
  </si>
  <si>
    <t>SAVETTS Absa Savings Account # 9378577005</t>
  </si>
  <si>
    <t>Women's 60+</t>
  </si>
  <si>
    <t>Doubles
Entry Fee</t>
  </si>
  <si>
    <t>Single Events
Entry Fee</t>
  </si>
  <si>
    <t>Entry Fee: R120 - Additional entry R60</t>
  </si>
  <si>
    <r>
      <t xml:space="preserve">Total Entry Fees </t>
    </r>
    <r>
      <rPr>
        <b/>
        <sz val="14"/>
        <rFont val="Arial"/>
        <family val="2"/>
      </rPr>
      <t>(Singles and doubles)</t>
    </r>
    <r>
      <rPr>
        <b/>
        <sz val="22"/>
        <rFont val="Arial"/>
        <family val="2"/>
      </rPr>
      <t>:</t>
    </r>
  </si>
  <si>
    <t>Ravensmead Multipupose Center</t>
  </si>
  <si>
    <t>11 - 12 September 2026</t>
  </si>
  <si>
    <t>Ravensmead Multipurpose Centre</t>
  </si>
  <si>
    <t>11-12 September 2026</t>
  </si>
  <si>
    <t>Entry Fee: R120  per pair</t>
  </si>
  <si>
    <t xml:space="preserve">due date to Joshua du Plooy |  joshua.du.plooy99+2026Savetts@gmail.com </t>
  </si>
  <si>
    <t>Mixed Doubles</t>
  </si>
  <si>
    <t>Men's Doubles</t>
  </si>
  <si>
    <t>Ladies Doubles</t>
  </si>
  <si>
    <t>Ravens</t>
  </si>
  <si>
    <t>Entry due date: 6 September 2026</t>
  </si>
  <si>
    <t>Player 1</t>
  </si>
  <si>
    <t>Player 2</t>
  </si>
  <si>
    <t>Club2</t>
  </si>
  <si>
    <t>John</t>
  </si>
  <si>
    <t>Dory</t>
  </si>
  <si>
    <t>LINDSAY OCTOBER</t>
  </si>
  <si>
    <t>CHRIS SLOSTER</t>
  </si>
  <si>
    <t>TOP TTC</t>
  </si>
  <si>
    <t>X</t>
  </si>
  <si>
    <t>BERNARD STEWE</t>
  </si>
  <si>
    <t>GOODWOOD TTC</t>
  </si>
  <si>
    <t>ANGELINE WOOD</t>
  </si>
  <si>
    <t>RAVENS TTC</t>
  </si>
  <si>
    <t>LORENZO HAUPT</t>
  </si>
  <si>
    <t>ALLAN CLARK</t>
  </si>
  <si>
    <t>GASTON KOETAAN</t>
  </si>
  <si>
    <t>QUENTIN THOMAS</t>
  </si>
  <si>
    <t>MERLIN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</si>
</sst>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&quot;#,##0;[Red]\-&quot;R&quot;#,##0"/>
    <numFmt numFmtId="165" formatCode="&quot;R&quot;#,##0"/>
    <numFmt numFmtId="166" formatCode="[$-1C09]dd\ mmmm\ yyyy;@"/>
  </numFmts>
  <fonts count="21" x14ac:knownFonts="1">
    <font>
      <sz val="10"/>
      <name val="Arial"/>
    </font>
    <font>
      <b/>
      <u/>
      <sz val="2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22"/>
      <name val="Arial"/>
      <family val="2"/>
    </font>
    <font>
      <b/>
      <sz val="20"/>
      <color rgb="FFFF0000"/>
      <name val="Arial"/>
      <family val="2"/>
    </font>
    <font>
      <sz val="9"/>
      <name val="Arial"/>
      <family val="2"/>
    </font>
    <font>
      <b/>
      <sz val="14"/>
      <color rgb="FFFF0000"/>
      <name val="Arial"/>
      <family val="2"/>
    </font>
    <font>
      <b/>
      <sz val="14"/>
      <color rgb="FF00B0F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b/>
      <sz val="18"/>
      <color rgb="FFFF0000"/>
      <name val="Arial"/>
      <family val="2"/>
    </font>
    <font>
      <sz val="16"/>
      <name val="Arial"/>
      <family val="2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9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Protection="1">
      <protection locked="0"/>
    </xf>
    <xf numFmtId="0" fontId="1" fillId="0" borderId="3" xfId="0" applyFont="1" applyBorder="1"/>
    <xf numFmtId="0" fontId="0" fillId="0" borderId="6" xfId="0" applyBorder="1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164" fontId="10" fillId="0" borderId="7" xfId="0" applyNumberFormat="1" applyFont="1" applyBorder="1" applyAlignment="1">
      <alignment horizontal="center"/>
    </xf>
    <xf numFmtId="0" fontId="0" fillId="0" borderId="7" xfId="0" applyBorder="1"/>
    <xf numFmtId="165" fontId="9" fillId="0" borderId="7" xfId="0" applyNumberFormat="1" applyFont="1" applyBorder="1" applyAlignment="1">
      <alignment horizontal="center"/>
    </xf>
    <xf numFmtId="0" fontId="0" fillId="0" borderId="4" xfId="0" applyBorder="1"/>
    <xf numFmtId="0" fontId="5" fillId="0" borderId="5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8" fillId="0" borderId="0" xfId="1" applyFont="1"/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166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2"/>
      <protection locked="0"/>
    </xf>
    <xf numFmtId="0" fontId="5" fillId="0" borderId="12" xfId="0" applyFont="1" applyBorder="1" applyAlignment="1" applyProtection="1">
      <alignment horizontal="left" vertical="center" indent="2"/>
      <protection locked="0"/>
    </xf>
    <xf numFmtId="0" fontId="15" fillId="3" borderId="0" xfId="0" applyFont="1" applyFill="1"/>
    <xf numFmtId="0" fontId="14" fillId="3" borderId="11" xfId="0" applyFont="1" applyFill="1" applyBorder="1" applyAlignment="1">
      <alignment horizontal="center" vertical="center" wrapText="1"/>
    </xf>
    <xf numFmtId="1" fontId="15" fillId="3" borderId="0" xfId="0" applyNumberFormat="1" applyFont="1" applyFill="1"/>
    <xf numFmtId="0" fontId="15" fillId="3" borderId="0" xfId="0" applyFont="1" applyFill="1" applyProtection="1">
      <protection locked="0"/>
    </xf>
    <xf numFmtId="0" fontId="0" fillId="0" borderId="0" xfId="0" applyAlignment="1">
      <alignment horizontal="right"/>
    </xf>
    <xf numFmtId="165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4" fillId="0" borderId="1" xfId="0" applyFont="1" applyBorder="1"/>
    <xf numFmtId="0" fontId="11" fillId="0" borderId="0" xfId="1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11" fillId="0" borderId="0" xfId="1" applyFont="1" applyAlignment="1">
      <alignment horizontal="left" vertical="center"/>
    </xf>
    <xf numFmtId="0" fontId="19" fillId="0" borderId="0" xfId="1" applyFont="1"/>
    <xf numFmtId="0" fontId="14" fillId="5" borderId="4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vertical="center" wrapText="1"/>
    </xf>
    <xf numFmtId="0" fontId="3" fillId="0" borderId="0" xfId="0" applyFont="1"/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right"/>
    </xf>
    <xf numFmtId="164" fontId="5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0" fillId="0" borderId="8" xfId="0" applyBorder="1"/>
    <xf numFmtId="0" fontId="7" fillId="3" borderId="10" xfId="0" applyFont="1" applyFill="1" applyBorder="1" applyAlignment="1">
      <alignment horizontal="right"/>
    </xf>
    <xf numFmtId="0" fontId="11" fillId="0" borderId="10" xfId="0" applyFont="1" applyBorder="1" applyAlignment="1">
      <alignment horizontal="left"/>
    </xf>
    <xf numFmtId="15" fontId="6" fillId="0" borderId="1" xfId="0" applyNumberFormat="1" applyFont="1" applyBorder="1"/>
    <xf numFmtId="0" fontId="11" fillId="6" borderId="5" xfId="0" applyFont="1" applyFill="1" applyBorder="1" applyAlignment="1" applyProtection="1">
      <alignment horizontal="center" vertical="center"/>
      <protection locked="0"/>
    </xf>
    <xf numFmtId="0" fontId="12" fillId="6" borderId="5" xfId="0" applyFont="1" applyFill="1" applyBorder="1" applyAlignment="1" applyProtection="1">
      <alignment horizontal="center" vertical="center"/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164" fontId="3" fillId="6" borderId="5" xfId="0" applyNumberFormat="1" applyFont="1" applyFill="1" applyBorder="1" applyAlignment="1">
      <alignment horizontal="center" vertical="center"/>
    </xf>
    <xf numFmtId="0" fontId="0" fillId="0" borderId="9" xfId="0" applyBorder="1"/>
    <xf numFmtId="0" fontId="14" fillId="5" borderId="4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  <protection locked="0"/>
    </xf>
    <xf numFmtId="0" fontId="16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6" fillId="4" borderId="9" xfId="0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/>
    </xf>
    <xf numFmtId="0" fontId="3" fillId="6" borderId="10" xfId="0" applyFont="1" applyFill="1" applyBorder="1" applyAlignment="1">
      <alignment horizontal="center" vertical="center"/>
    </xf>
    <xf numFmtId="0" fontId="3" fillId="6" borderId="5" xfId="0" applyFont="1" applyFill="1" applyBorder="1" applyAlignment="1" applyProtection="1">
      <alignment horizontal="center" vertical="center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 applyProtection="1">
      <alignment horizontal="left" vertical="center"/>
      <protection locked="0"/>
    </xf>
    <xf numFmtId="0" fontId="3" fillId="6" borderId="5" xfId="0" applyFont="1" applyFill="1" applyBorder="1" applyAlignment="1" applyProtection="1">
      <alignment horizontal="left" vertical="center" indent="2"/>
      <protection locked="0"/>
    </xf>
    <xf numFmtId="14" fontId="3" fillId="6" borderId="5" xfId="0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 indent="2"/>
      <protection locked="0"/>
    </xf>
    <xf numFmtId="166" fontId="3" fillId="0" borderId="5" xfId="0" applyNumberFormat="1" applyFont="1" applyBorder="1" applyAlignment="1" applyProtection="1">
      <alignment horizontal="center" vertical="center"/>
      <protection locked="0"/>
    </xf>
    <xf numFmtId="14" fontId="3" fillId="0" borderId="5" xfId="0" applyNumberFormat="1" applyFont="1" applyBorder="1" applyAlignment="1" applyProtection="1">
      <alignment horizontal="left" vertical="center" indent="2"/>
      <protection locked="0"/>
    </xf>
    <xf numFmtId="0" fontId="3" fillId="7" borderId="5" xfId="0" applyFont="1" applyFill="1" applyBorder="1" applyAlignment="1" applyProtection="1">
      <alignment horizontal="center" vertical="center"/>
      <protection locked="0"/>
    </xf>
    <xf numFmtId="0" fontId="3" fillId="8" borderId="5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31"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4" formatCode="&quot;R&quot;#,##0;[Red]\-&quot;R&quot;#,##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4" formatCode="&quot;R&quot;#,##0;[Red]\-&quot;R&quot;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6" formatCode="[$-1C09]dd\ mmmm\ yy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left" vertical="center" textRotation="0" wrapText="0" indent="2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81643</xdr:colOff>
      <xdr:row>0</xdr:row>
      <xdr:rowOff>0</xdr:rowOff>
    </xdr:from>
    <xdr:to>
      <xdr:col>9</xdr:col>
      <xdr:colOff>857250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F37C68-C076-42A7-9809-C55E0F790367}"/>
            </a:ext>
          </a:extLst>
        </xdr:cNvPr>
        <xdr:cNvSpPr txBox="1"/>
      </xdr:nvSpPr>
      <xdr:spPr>
        <a:xfrm>
          <a:off x="911679" y="0"/>
          <a:ext cx="10899321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 baseline="0">
              <a:solidFill>
                <a:schemeClr val="tx1"/>
              </a:solidFill>
            </a:rPr>
            <a:t>CAPE TOWN 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217713</xdr:colOff>
      <xdr:row>0</xdr:row>
      <xdr:rowOff>149679</xdr:rowOff>
    </xdr:from>
    <xdr:to>
      <xdr:col>1</xdr:col>
      <xdr:colOff>1322613</xdr:colOff>
      <xdr:row>0</xdr:row>
      <xdr:rowOff>1597479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57EC-A8F4-4408-9E5F-06573CADA9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238" y="149679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898072</xdr:colOff>
      <xdr:row>0</xdr:row>
      <xdr:rowOff>122464</xdr:rowOff>
    </xdr:from>
    <xdr:to>
      <xdr:col>10</xdr:col>
      <xdr:colOff>968829</xdr:colOff>
      <xdr:row>0</xdr:row>
      <xdr:rowOff>1570264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C36022-56CB-4168-BF4B-DD8C90691F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1822" y="122464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2476499</xdr:colOff>
      <xdr:row>0</xdr:row>
      <xdr:rowOff>0</xdr:rowOff>
    </xdr:from>
    <xdr:to>
      <xdr:col>5</xdr:col>
      <xdr:colOff>993320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25C43A-BCE8-40E7-AED0-9A8D0889A1B2}"/>
            </a:ext>
          </a:extLst>
        </xdr:cNvPr>
        <xdr:cNvSpPr txBox="1"/>
      </xdr:nvSpPr>
      <xdr:spPr>
        <a:xfrm>
          <a:off x="3292928" y="0"/>
          <a:ext cx="7606392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CAPE TOWN </a:t>
          </a:r>
          <a:r>
            <a:rPr lang="en-US" sz="3200" b="1" baseline="0">
              <a:solidFill>
                <a:schemeClr val="tx1"/>
              </a:solidFill>
            </a:rPr>
            <a:t>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557893</xdr:colOff>
      <xdr:row>0</xdr:row>
      <xdr:rowOff>163286</xdr:rowOff>
    </xdr:from>
    <xdr:to>
      <xdr:col>1</xdr:col>
      <xdr:colOff>1662793</xdr:colOff>
      <xdr:row>0</xdr:row>
      <xdr:rowOff>1611086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2B3B3A-A2A2-4506-AFD0-44DDCF91E67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322" y="163286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693964</xdr:colOff>
      <xdr:row>0</xdr:row>
      <xdr:rowOff>231321</xdr:rowOff>
    </xdr:from>
    <xdr:to>
      <xdr:col>7</xdr:col>
      <xdr:colOff>397329</xdr:colOff>
      <xdr:row>0</xdr:row>
      <xdr:rowOff>1679121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B5615E-B31D-48D8-9BA6-49DAB73736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231321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M29" totalsRowShown="0" headerRowDxfId="30" headerRowBorderDxfId="29" tableBorderDxfId="28" totalsRowBorderDxfId="27">
  <tableColumns count="13">
    <tableColumn id="1" xr3:uid="{00000000-0010-0000-0000-000001000000}" name="No." dataDxfId="26">
      <calculatedColumnFormula>A5+1</calculatedColumnFormula>
    </tableColumn>
    <tableColumn id="3" xr3:uid="{00000000-0010-0000-0000-000003000000}" name="Name &amp; Surname" dataDxfId="25"/>
    <tableColumn id="4" xr3:uid="{00000000-0010-0000-0000-000004000000}" name="Club" dataDxfId="24"/>
    <tableColumn id="5" xr3:uid="{00000000-0010-0000-0000-000005000000}" name="Date of Birth" dataDxfId="23"/>
    <tableColumn id="8" xr3:uid="{00000000-0010-0000-0000-000008000000}" name="Women's 35+" dataDxfId="22"/>
    <tableColumn id="10" xr3:uid="{00000000-0010-0000-0000-00000A000000}" name="Women's 50+" dataDxfId="21"/>
    <tableColumn id="13" xr3:uid="{00000000-0010-0000-0000-00000D000000}" name="Women's 60+" dataDxfId="20"/>
    <tableColumn id="9" xr3:uid="{00000000-0010-0000-0000-000009000000}" name="Men's _x000a_40+" dataDxfId="19"/>
    <tableColumn id="12" xr3:uid="{00000000-0010-0000-0000-00000C000000}" name="Men's _x000a_50+" dataDxfId="18"/>
    <tableColumn id="7" xr3:uid="{00000000-0010-0000-0000-000007000000}" name="Men's _x000a_60+" dataDxfId="17"/>
    <tableColumn id="2" xr3:uid="{00000000-0010-0000-0000-000002000000}" name="Men's _x000a_70+" dataDxfId="16"/>
    <tableColumn id="15" xr3:uid="{00000000-0010-0000-0000-00000F000000}" name="Single Events_x000a_Entry Fee" dataDxfId="15">
      <calculatedColumnFormula>IF(M6&lt;1,0,IF(M6&gt;=2,180,120))</calculatedColumnFormula>
    </tableColumn>
    <tableColumn id="6" xr3:uid="{00000000-0010-0000-0000-000006000000}" name="Column1" dataDxfId="14">
      <calculatedColumnFormula>COUNTA(E6:K6)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" displayName="Table32" ref="A5:J25" totalsRowShown="0" headerRowDxfId="13" headerRowBorderDxfId="12" tableBorderDxfId="11" totalsRowBorderDxfId="10">
  <tableColumns count="10">
    <tableColumn id="1" xr3:uid="{00000000-0010-0000-0100-000001000000}" name="No." dataDxfId="9">
      <calculatedColumnFormula>A5+1</calculatedColumnFormula>
    </tableColumn>
    <tableColumn id="4" xr3:uid="{00000000-0010-0000-0100-000004000000}" name="Player 1" dataDxfId="8"/>
    <tableColumn id="5" xr3:uid="{00000000-0010-0000-0100-000005000000}" name="Club" dataDxfId="7"/>
    <tableColumn id="7" xr3:uid="{00000000-0010-0000-0100-000007000000}" name="Player 2" dataDxfId="6"/>
    <tableColumn id="3" xr3:uid="{00000000-0010-0000-0100-000003000000}" name="Club2" dataDxfId="5"/>
    <tableColumn id="8" xr3:uid="{00000000-0010-0000-0100-000008000000}" name="Ladies Doubles" dataDxfId="4"/>
    <tableColumn id="9" xr3:uid="{00000000-0010-0000-0100-000009000000}" name="Men's Doubles" dataDxfId="3"/>
    <tableColumn id="2" xr3:uid="{00000000-0010-0000-0100-000002000000}" name="Mixed Doubles" dataDxfId="2"/>
    <tableColumn id="15" xr3:uid="{00000000-0010-0000-0100-00000F000000}" name="Doubles_x000a_Entry Fee" dataDxfId="1">
      <calculatedColumnFormula>IF(J6&lt;1,0,IF(J6&gt;=2,200,100))</calculatedColumnFormula>
    </tableColumn>
    <tableColumn id="6" xr3:uid="{00000000-0010-0000-0100-000006000000}" name="Column1" dataDxfId="0">
      <calculatedColumnFormula>COUNTA(F6:G6)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showGridLines="0" showZeros="0" view="pageBreakPreview" zoomScale="70" zoomScaleNormal="70" zoomScaleSheetLayoutView="70" zoomScalePageLayoutView="70" workbookViewId="0">
      <pane ySplit="1" topLeftCell="A5" activePane="bottomLeft" state="frozen"/>
      <selection pane="bottomLeft" activeCell="C8" sqref="C8"/>
    </sheetView>
  </sheetViews>
  <sheetFormatPr defaultRowHeight="12.75" x14ac:dyDescent="0.2"/>
  <cols>
    <col min="1" max="1" width="12.42578125" customWidth="1"/>
    <col min="2" max="2" width="45.7109375" customWidth="1"/>
    <col min="3" max="3" width="26.7109375" customWidth="1"/>
    <col min="4" max="4" width="20.5703125" customWidth="1"/>
    <col min="5" max="6" width="14.140625" customWidth="1"/>
    <col min="7" max="7" width="14.140625" hidden="1" customWidth="1"/>
    <col min="8" max="8" width="15.140625" customWidth="1"/>
    <col min="9" max="10" width="15.5703125" customWidth="1"/>
    <col min="11" max="11" width="19" customWidth="1"/>
    <col min="12" max="12" width="18.7109375" customWidth="1"/>
    <col min="13" max="13" width="15.140625" style="30" hidden="1" customWidth="1"/>
    <col min="14" max="14" width="0.85546875" customWidth="1"/>
    <col min="15" max="15" width="4.140625" customWidth="1"/>
    <col min="16" max="16" width="15.85546875" customWidth="1"/>
    <col min="17" max="17" width="37.42578125" customWidth="1"/>
    <col min="18" max="18" width="20.5703125" customWidth="1"/>
    <col min="19" max="19" width="11.7109375" customWidth="1"/>
  </cols>
  <sheetData>
    <row r="1" spans="1:20" ht="143.25" customHeight="1" thickBot="1" x14ac:dyDescent="0.45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P1" s="5"/>
    </row>
    <row r="2" spans="1:20" ht="42" customHeight="1" x14ac:dyDescent="0.4">
      <c r="A2" s="9" t="s">
        <v>14</v>
      </c>
      <c r="B2" s="9" t="s">
        <v>22</v>
      </c>
      <c r="C2" s="8"/>
      <c r="D2" s="34"/>
      <c r="E2" s="35" t="s">
        <v>20</v>
      </c>
      <c r="F2" s="36"/>
      <c r="G2" s="36"/>
      <c r="H2" s="36"/>
      <c r="I2" s="36"/>
      <c r="J2" s="36"/>
      <c r="K2" s="36"/>
      <c r="L2" s="36"/>
      <c r="P2" s="7"/>
    </row>
    <row r="3" spans="1:20" ht="29.25" customHeight="1" thickBot="1" x14ac:dyDescent="0.45">
      <c r="A3" s="37" t="s">
        <v>12</v>
      </c>
      <c r="B3" s="62" t="s">
        <v>23</v>
      </c>
      <c r="C3" s="38"/>
      <c r="D3" s="38"/>
      <c r="E3" s="38" t="s">
        <v>32</v>
      </c>
      <c r="F3" s="38"/>
      <c r="G3" s="38"/>
      <c r="H3" s="38"/>
      <c r="I3" s="38"/>
      <c r="J3" s="37"/>
      <c r="K3" s="38"/>
      <c r="L3" s="38"/>
      <c r="P3" s="7"/>
    </row>
    <row r="4" spans="1:20" ht="27" customHeight="1" thickBot="1" x14ac:dyDescent="0.4">
      <c r="A4" s="9"/>
      <c r="B4" s="9"/>
      <c r="C4" s="8"/>
      <c r="D4" s="9"/>
      <c r="E4" s="74" t="s">
        <v>13</v>
      </c>
      <c r="F4" s="75"/>
      <c r="G4" s="75"/>
      <c r="H4" s="75"/>
      <c r="I4" s="75"/>
      <c r="J4" s="75"/>
      <c r="K4" s="75"/>
      <c r="L4" s="76"/>
    </row>
    <row r="5" spans="1:20" s="2" customFormat="1" ht="39.75" customHeight="1" thickBot="1" x14ac:dyDescent="0.3">
      <c r="A5" s="44" t="s">
        <v>4</v>
      </c>
      <c r="B5" s="45" t="s">
        <v>5</v>
      </c>
      <c r="C5" s="45" t="s">
        <v>3</v>
      </c>
      <c r="D5" s="45" t="s">
        <v>0</v>
      </c>
      <c r="E5" s="45" t="s">
        <v>1</v>
      </c>
      <c r="F5" s="45" t="s">
        <v>7</v>
      </c>
      <c r="G5" s="45" t="s">
        <v>17</v>
      </c>
      <c r="H5" s="45" t="s">
        <v>8</v>
      </c>
      <c r="I5" s="45" t="s">
        <v>9</v>
      </c>
      <c r="J5" s="46" t="s">
        <v>10</v>
      </c>
      <c r="K5" s="46" t="s">
        <v>11</v>
      </c>
      <c r="L5" s="46" t="s">
        <v>19</v>
      </c>
      <c r="M5" s="47" t="s">
        <v>6</v>
      </c>
      <c r="O5"/>
      <c r="P5"/>
      <c r="Q5"/>
      <c r="R5"/>
      <c r="S5"/>
      <c r="T5"/>
    </row>
    <row r="6" spans="1:20" ht="30" customHeight="1" thickBot="1" x14ac:dyDescent="0.25">
      <c r="A6" s="83">
        <v>1</v>
      </c>
      <c r="B6" s="84"/>
      <c r="C6" s="85"/>
      <c r="D6" s="86"/>
      <c r="E6" s="63"/>
      <c r="F6" s="63"/>
      <c r="G6" s="63"/>
      <c r="H6" s="64"/>
      <c r="I6" s="64"/>
      <c r="J6" s="65"/>
      <c r="K6" s="65"/>
      <c r="L6" s="66">
        <f t="shared" ref="L6:L29" si="0">IF(M6&lt;1,0,IF(M6&gt;=2,180,120))</f>
        <v>0</v>
      </c>
      <c r="M6" s="32">
        <f t="shared" ref="M6:M29" si="1">COUNTA(E6:K6)</f>
        <v>0</v>
      </c>
    </row>
    <row r="7" spans="1:20" ht="30" customHeight="1" thickBot="1" x14ac:dyDescent="0.25">
      <c r="A7" s="87">
        <f>A6+1</f>
        <v>2</v>
      </c>
      <c r="B7" s="88" t="s">
        <v>49</v>
      </c>
      <c r="C7" s="91" t="s">
        <v>40</v>
      </c>
      <c r="D7" s="90">
        <v>28162</v>
      </c>
      <c r="E7" s="18"/>
      <c r="F7" s="18"/>
      <c r="G7" s="18"/>
      <c r="H7" s="17" t="s">
        <v>41</v>
      </c>
      <c r="I7" s="17"/>
      <c r="J7" s="24"/>
      <c r="K7" s="24"/>
      <c r="L7" s="52">
        <f t="shared" si="0"/>
        <v>120</v>
      </c>
      <c r="M7" s="30">
        <f t="shared" si="1"/>
        <v>1</v>
      </c>
    </row>
    <row r="8" spans="1:20" ht="30" customHeight="1" thickBot="1" x14ac:dyDescent="0.25">
      <c r="A8" s="87">
        <f t="shared" ref="A8:A29" si="2">A7+1</f>
        <v>3</v>
      </c>
      <c r="B8" s="88" t="s">
        <v>39</v>
      </c>
      <c r="C8" s="89" t="s">
        <v>40</v>
      </c>
      <c r="D8" s="90">
        <v>27456</v>
      </c>
      <c r="E8" s="18"/>
      <c r="F8" s="18"/>
      <c r="G8" s="18"/>
      <c r="H8" s="17" t="s">
        <v>41</v>
      </c>
      <c r="I8" s="17" t="s">
        <v>41</v>
      </c>
      <c r="J8" s="24"/>
      <c r="K8" s="24"/>
      <c r="L8" s="52">
        <f t="shared" si="0"/>
        <v>180</v>
      </c>
      <c r="M8" s="30">
        <f t="shared" si="1"/>
        <v>2</v>
      </c>
    </row>
    <row r="9" spans="1:20" ht="30" customHeight="1" thickBot="1" x14ac:dyDescent="0.25">
      <c r="A9" s="87">
        <f t="shared" si="2"/>
        <v>4</v>
      </c>
      <c r="B9" s="88" t="s">
        <v>46</v>
      </c>
      <c r="C9" s="89" t="s">
        <v>40</v>
      </c>
      <c r="D9" s="90">
        <v>26644</v>
      </c>
      <c r="E9" s="18"/>
      <c r="F9" s="18"/>
      <c r="G9" s="18"/>
      <c r="H9" s="17" t="s">
        <v>41</v>
      </c>
      <c r="I9" s="17" t="s">
        <v>41</v>
      </c>
      <c r="J9" s="24"/>
      <c r="K9" s="24"/>
      <c r="L9" s="52">
        <f t="shared" si="0"/>
        <v>180</v>
      </c>
      <c r="M9" s="30">
        <f t="shared" si="1"/>
        <v>2</v>
      </c>
    </row>
    <row r="10" spans="1:20" ht="30" customHeight="1" thickBot="1" x14ac:dyDescent="0.25">
      <c r="A10" s="87">
        <f t="shared" si="2"/>
        <v>5</v>
      </c>
      <c r="B10" s="88" t="s">
        <v>47</v>
      </c>
      <c r="C10" s="89" t="s">
        <v>40</v>
      </c>
      <c r="D10" s="90">
        <v>28754</v>
      </c>
      <c r="E10" s="18"/>
      <c r="F10" s="18"/>
      <c r="G10" s="18"/>
      <c r="H10" s="17" t="s">
        <v>41</v>
      </c>
      <c r="I10" s="17"/>
      <c r="J10" s="24"/>
      <c r="K10" s="24"/>
      <c r="L10" s="52">
        <f t="shared" si="0"/>
        <v>120</v>
      </c>
      <c r="M10" s="30">
        <f t="shared" si="1"/>
        <v>1</v>
      </c>
    </row>
    <row r="11" spans="1:20" ht="30" customHeight="1" thickBot="1" x14ac:dyDescent="0.25">
      <c r="A11" s="87">
        <f t="shared" si="2"/>
        <v>6</v>
      </c>
      <c r="B11" s="88" t="s">
        <v>48</v>
      </c>
      <c r="C11" s="89" t="s">
        <v>40</v>
      </c>
      <c r="D11" s="90">
        <v>25417</v>
      </c>
      <c r="E11" s="18"/>
      <c r="F11" s="18"/>
      <c r="G11" s="18"/>
      <c r="H11" s="17" t="s">
        <v>41</v>
      </c>
      <c r="I11" s="17" t="s">
        <v>41</v>
      </c>
      <c r="J11" s="24"/>
      <c r="K11" s="24"/>
      <c r="L11" s="52">
        <f t="shared" si="0"/>
        <v>180</v>
      </c>
      <c r="M11" s="30">
        <f t="shared" si="1"/>
        <v>2</v>
      </c>
    </row>
    <row r="12" spans="1:20" ht="30" customHeight="1" thickBot="1" x14ac:dyDescent="0.25">
      <c r="A12" s="87">
        <f t="shared" si="2"/>
        <v>7</v>
      </c>
      <c r="B12" s="88" t="s">
        <v>50</v>
      </c>
      <c r="C12" s="89" t="s">
        <v>40</v>
      </c>
      <c r="D12" s="90">
        <v>29026</v>
      </c>
      <c r="E12" s="18"/>
      <c r="F12" s="18"/>
      <c r="G12" s="18"/>
      <c r="H12" s="17" t="s">
        <v>41</v>
      </c>
      <c r="I12" s="17"/>
      <c r="J12" s="24"/>
      <c r="K12" s="24"/>
      <c r="L12" s="52">
        <f t="shared" si="0"/>
        <v>120</v>
      </c>
      <c r="M12" s="30">
        <f t="shared" si="1"/>
        <v>1</v>
      </c>
    </row>
    <row r="13" spans="1:20" ht="30" customHeight="1" thickBot="1" x14ac:dyDescent="0.25">
      <c r="A13" s="87">
        <f t="shared" si="2"/>
        <v>8</v>
      </c>
      <c r="B13" s="88"/>
      <c r="C13" s="89"/>
      <c r="D13" s="90"/>
      <c r="E13" s="18"/>
      <c r="F13" s="18"/>
      <c r="G13" s="18"/>
      <c r="H13" s="17"/>
      <c r="I13" s="17"/>
      <c r="J13" s="24"/>
      <c r="K13" s="24"/>
      <c r="L13" s="52">
        <f t="shared" si="0"/>
        <v>0</v>
      </c>
      <c r="M13" s="30">
        <f t="shared" si="1"/>
        <v>0</v>
      </c>
    </row>
    <row r="14" spans="1:20" ht="30" customHeight="1" thickBot="1" x14ac:dyDescent="0.25">
      <c r="A14" s="51">
        <f t="shared" si="2"/>
        <v>9</v>
      </c>
      <c r="B14" s="16"/>
      <c r="C14" s="28"/>
      <c r="D14" s="26"/>
      <c r="E14" s="18"/>
      <c r="F14" s="18"/>
      <c r="G14" s="18"/>
      <c r="H14" s="17"/>
      <c r="I14" s="17"/>
      <c r="J14" s="24"/>
      <c r="K14" s="24"/>
      <c r="L14" s="52">
        <f t="shared" si="0"/>
        <v>0</v>
      </c>
      <c r="M14" s="30">
        <f t="shared" si="1"/>
        <v>0</v>
      </c>
    </row>
    <row r="15" spans="1:20" ht="30" customHeight="1" thickBot="1" x14ac:dyDescent="0.25">
      <c r="A15" s="51">
        <f t="shared" si="2"/>
        <v>10</v>
      </c>
      <c r="B15" s="16"/>
      <c r="C15" s="28"/>
      <c r="D15" s="26"/>
      <c r="E15" s="18"/>
      <c r="F15" s="18"/>
      <c r="G15" s="18"/>
      <c r="H15" s="17"/>
      <c r="I15" s="17"/>
      <c r="J15" s="24"/>
      <c r="K15" s="24"/>
      <c r="L15" s="52">
        <f t="shared" si="0"/>
        <v>0</v>
      </c>
      <c r="M15" s="30">
        <f t="shared" si="1"/>
        <v>0</v>
      </c>
    </row>
    <row r="16" spans="1:20" ht="30" customHeight="1" thickBot="1" x14ac:dyDescent="0.25">
      <c r="A16" s="51">
        <f t="shared" si="2"/>
        <v>11</v>
      </c>
      <c r="B16" s="16"/>
      <c r="C16" s="28"/>
      <c r="D16" s="26"/>
      <c r="E16" s="18"/>
      <c r="F16" s="18"/>
      <c r="G16" s="18"/>
      <c r="H16" s="17"/>
      <c r="I16" s="17"/>
      <c r="J16" s="24"/>
      <c r="K16" s="24"/>
      <c r="L16" s="52">
        <f t="shared" si="0"/>
        <v>0</v>
      </c>
      <c r="M16" s="30">
        <f t="shared" si="1"/>
        <v>0</v>
      </c>
    </row>
    <row r="17" spans="1:13" ht="30" customHeight="1" thickBot="1" x14ac:dyDescent="0.25">
      <c r="A17" s="51">
        <f t="shared" si="2"/>
        <v>12</v>
      </c>
      <c r="B17" s="16"/>
      <c r="C17" s="28"/>
      <c r="D17" s="26"/>
      <c r="E17" s="18"/>
      <c r="F17" s="18"/>
      <c r="G17" s="18"/>
      <c r="H17" s="17"/>
      <c r="I17" s="17"/>
      <c r="J17" s="24"/>
      <c r="K17" s="24"/>
      <c r="L17" s="52">
        <f t="shared" si="0"/>
        <v>0</v>
      </c>
      <c r="M17" s="30">
        <f t="shared" si="1"/>
        <v>0</v>
      </c>
    </row>
    <row r="18" spans="1:13" ht="30" customHeight="1" thickBot="1" x14ac:dyDescent="0.25">
      <c r="A18" s="51">
        <f t="shared" si="2"/>
        <v>13</v>
      </c>
      <c r="B18" s="16"/>
      <c r="C18" s="28"/>
      <c r="D18" s="26"/>
      <c r="E18" s="18"/>
      <c r="F18" s="18"/>
      <c r="G18" s="18"/>
      <c r="H18" s="17"/>
      <c r="I18" s="17"/>
      <c r="J18" s="24"/>
      <c r="K18" s="24"/>
      <c r="L18" s="52">
        <f t="shared" si="0"/>
        <v>0</v>
      </c>
      <c r="M18" s="30">
        <f t="shared" si="1"/>
        <v>0</v>
      </c>
    </row>
    <row r="19" spans="1:13" ht="30" customHeight="1" thickBot="1" x14ac:dyDescent="0.25">
      <c r="A19" s="51">
        <f t="shared" si="2"/>
        <v>14</v>
      </c>
      <c r="B19" s="16"/>
      <c r="C19" s="28"/>
      <c r="D19" s="26"/>
      <c r="E19" s="18"/>
      <c r="F19" s="18"/>
      <c r="G19" s="18"/>
      <c r="H19" s="17"/>
      <c r="I19" s="17"/>
      <c r="J19" s="24"/>
      <c r="K19" s="24"/>
      <c r="L19" s="52">
        <f t="shared" si="0"/>
        <v>0</v>
      </c>
      <c r="M19" s="30">
        <f t="shared" si="1"/>
        <v>0</v>
      </c>
    </row>
    <row r="20" spans="1:13" ht="30" customHeight="1" thickBot="1" x14ac:dyDescent="0.25">
      <c r="A20" s="51">
        <f t="shared" si="2"/>
        <v>15</v>
      </c>
      <c r="B20" s="16"/>
      <c r="C20" s="28"/>
      <c r="D20" s="26"/>
      <c r="E20" s="18"/>
      <c r="F20" s="18"/>
      <c r="G20" s="18"/>
      <c r="H20" s="17"/>
      <c r="I20" s="17"/>
      <c r="J20" s="24"/>
      <c r="K20" s="24"/>
      <c r="L20" s="52">
        <f t="shared" si="0"/>
        <v>0</v>
      </c>
      <c r="M20" s="30">
        <f t="shared" si="1"/>
        <v>0</v>
      </c>
    </row>
    <row r="21" spans="1:13" ht="30" customHeight="1" thickBot="1" x14ac:dyDescent="0.25">
      <c r="A21" s="51">
        <f t="shared" si="2"/>
        <v>16</v>
      </c>
      <c r="B21" s="16"/>
      <c r="C21" s="28"/>
      <c r="D21" s="26"/>
      <c r="E21" s="18"/>
      <c r="F21" s="18"/>
      <c r="G21" s="18"/>
      <c r="H21" s="17"/>
      <c r="I21" s="17"/>
      <c r="J21" s="24"/>
      <c r="K21" s="24"/>
      <c r="L21" s="52">
        <f t="shared" si="0"/>
        <v>0</v>
      </c>
      <c r="M21" s="30">
        <f t="shared" si="1"/>
        <v>0</v>
      </c>
    </row>
    <row r="22" spans="1:13" ht="30" customHeight="1" thickBot="1" x14ac:dyDescent="0.25">
      <c r="A22" s="51">
        <f t="shared" si="2"/>
        <v>17</v>
      </c>
      <c r="B22" s="16"/>
      <c r="C22" s="28"/>
      <c r="D22" s="26"/>
      <c r="E22" s="18"/>
      <c r="F22" s="18"/>
      <c r="G22" s="18"/>
      <c r="H22" s="17"/>
      <c r="I22" s="17"/>
      <c r="J22" s="24"/>
      <c r="K22" s="24"/>
      <c r="L22" s="52">
        <f t="shared" si="0"/>
        <v>0</v>
      </c>
      <c r="M22" s="30">
        <f t="shared" si="1"/>
        <v>0</v>
      </c>
    </row>
    <row r="23" spans="1:13" ht="30" customHeight="1" thickBot="1" x14ac:dyDescent="0.25">
      <c r="A23" s="51">
        <f t="shared" si="2"/>
        <v>18</v>
      </c>
      <c r="B23" s="16"/>
      <c r="C23" s="28"/>
      <c r="D23" s="26"/>
      <c r="E23" s="18"/>
      <c r="F23" s="18"/>
      <c r="G23" s="18"/>
      <c r="H23" s="17"/>
      <c r="I23" s="17"/>
      <c r="J23" s="24"/>
      <c r="K23" s="24"/>
      <c r="L23" s="52">
        <f t="shared" si="0"/>
        <v>0</v>
      </c>
      <c r="M23" s="30">
        <f t="shared" si="1"/>
        <v>0</v>
      </c>
    </row>
    <row r="24" spans="1:13" ht="30" customHeight="1" thickBot="1" x14ac:dyDescent="0.25">
      <c r="A24" s="51">
        <f t="shared" si="2"/>
        <v>19</v>
      </c>
      <c r="B24" s="16"/>
      <c r="C24" s="28"/>
      <c r="D24" s="26"/>
      <c r="E24" s="18"/>
      <c r="F24" s="18"/>
      <c r="G24" s="18"/>
      <c r="H24" s="17"/>
      <c r="I24" s="17"/>
      <c r="J24" s="24"/>
      <c r="K24" s="24"/>
      <c r="L24" s="52">
        <f t="shared" si="0"/>
        <v>0</v>
      </c>
      <c r="M24" s="30">
        <f t="shared" si="1"/>
        <v>0</v>
      </c>
    </row>
    <row r="25" spans="1:13" ht="30" customHeight="1" thickBot="1" x14ac:dyDescent="0.25">
      <c r="A25" s="51">
        <f t="shared" si="2"/>
        <v>20</v>
      </c>
      <c r="B25" s="16"/>
      <c r="C25" s="28"/>
      <c r="D25" s="26"/>
      <c r="E25" s="18"/>
      <c r="F25" s="18"/>
      <c r="G25" s="18"/>
      <c r="H25" s="17"/>
      <c r="I25" s="17"/>
      <c r="J25" s="24"/>
      <c r="K25" s="24"/>
      <c r="L25" s="52">
        <f t="shared" si="0"/>
        <v>0</v>
      </c>
      <c r="M25" s="30">
        <f t="shared" si="1"/>
        <v>0</v>
      </c>
    </row>
    <row r="26" spans="1:13" ht="30" customHeight="1" thickBot="1" x14ac:dyDescent="0.25">
      <c r="A26" s="51">
        <f t="shared" si="2"/>
        <v>21</v>
      </c>
      <c r="B26" s="16"/>
      <c r="C26" s="28"/>
      <c r="D26" s="26"/>
      <c r="E26" s="18"/>
      <c r="F26" s="18"/>
      <c r="G26" s="18"/>
      <c r="H26" s="17"/>
      <c r="I26" s="17"/>
      <c r="J26" s="24"/>
      <c r="K26" s="24"/>
      <c r="L26" s="52">
        <f t="shared" si="0"/>
        <v>0</v>
      </c>
      <c r="M26" s="30">
        <f t="shared" si="1"/>
        <v>0</v>
      </c>
    </row>
    <row r="27" spans="1:13" ht="30" customHeight="1" thickBot="1" x14ac:dyDescent="0.25">
      <c r="A27" s="51">
        <f t="shared" si="2"/>
        <v>22</v>
      </c>
      <c r="B27" s="16"/>
      <c r="C27" s="28"/>
      <c r="D27" s="26"/>
      <c r="E27" s="18"/>
      <c r="F27" s="18"/>
      <c r="G27" s="18"/>
      <c r="H27" s="17"/>
      <c r="I27" s="17"/>
      <c r="J27" s="24"/>
      <c r="K27" s="24"/>
      <c r="L27" s="52">
        <f t="shared" si="0"/>
        <v>0</v>
      </c>
      <c r="M27" s="30">
        <f t="shared" si="1"/>
        <v>0</v>
      </c>
    </row>
    <row r="28" spans="1:13" ht="30" customHeight="1" thickBot="1" x14ac:dyDescent="0.25">
      <c r="A28" s="51">
        <f t="shared" si="2"/>
        <v>23</v>
      </c>
      <c r="B28" s="16"/>
      <c r="C28" s="28"/>
      <c r="D28" s="26"/>
      <c r="E28" s="18"/>
      <c r="F28" s="18"/>
      <c r="G28" s="18"/>
      <c r="H28" s="17"/>
      <c r="I28" s="17"/>
      <c r="J28" s="24"/>
      <c r="K28" s="24"/>
      <c r="L28" s="52">
        <f t="shared" si="0"/>
        <v>0</v>
      </c>
      <c r="M28" s="30">
        <f t="shared" si="1"/>
        <v>0</v>
      </c>
    </row>
    <row r="29" spans="1:13" ht="30" customHeight="1" thickBot="1" x14ac:dyDescent="0.25">
      <c r="A29" s="51">
        <f t="shared" si="2"/>
        <v>24</v>
      </c>
      <c r="B29" s="20"/>
      <c r="C29" s="29"/>
      <c r="D29" s="27"/>
      <c r="E29" s="22"/>
      <c r="F29" s="22"/>
      <c r="G29" s="22"/>
      <c r="H29" s="21"/>
      <c r="I29" s="21"/>
      <c r="J29" s="25"/>
      <c r="K29" s="25"/>
      <c r="L29" s="52">
        <f t="shared" si="0"/>
        <v>0</v>
      </c>
      <c r="M29" s="30">
        <f t="shared" si="1"/>
        <v>0</v>
      </c>
    </row>
    <row r="30" spans="1:13" ht="33" customHeight="1" thickBot="1" x14ac:dyDescent="0.45">
      <c r="A30" s="6"/>
      <c r="B30" s="53"/>
      <c r="C30" s="53"/>
      <c r="D30" s="54" t="s">
        <v>2</v>
      </c>
      <c r="E30" s="56"/>
      <c r="F30" s="58"/>
      <c r="G30" s="57"/>
      <c r="H30" s="57">
        <v>6</v>
      </c>
      <c r="I30" s="56">
        <f t="shared" ref="I30:K30" si="3">SUBTOTAL(3,I6:I29)</f>
        <v>3</v>
      </c>
      <c r="J30" s="58">
        <f t="shared" si="3"/>
        <v>0</v>
      </c>
      <c r="K30" s="57">
        <f t="shared" si="3"/>
        <v>0</v>
      </c>
      <c r="L30" s="55">
        <f>SUM(L6:L29)</f>
        <v>900</v>
      </c>
    </row>
    <row r="31" spans="1:13" ht="26.25" customHeight="1" x14ac:dyDescent="0.4">
      <c r="A31" s="39" t="s">
        <v>15</v>
      </c>
      <c r="B31" s="40"/>
      <c r="C31" s="40"/>
      <c r="D31" s="41"/>
      <c r="E31" s="11"/>
      <c r="F31" s="11"/>
      <c r="G31" s="11"/>
      <c r="H31" s="11"/>
      <c r="I31" s="11"/>
      <c r="J31" s="11"/>
      <c r="K31" s="11"/>
      <c r="L31" s="12"/>
    </row>
    <row r="32" spans="1:13" ht="26.25" customHeight="1" x14ac:dyDescent="0.4">
      <c r="A32" s="42" t="s">
        <v>27</v>
      </c>
      <c r="B32" s="40"/>
      <c r="C32" s="40"/>
      <c r="D32" s="41"/>
      <c r="E32" s="11"/>
      <c r="F32" s="11"/>
      <c r="G32" s="11"/>
      <c r="H32" s="11"/>
      <c r="L32" s="10"/>
    </row>
    <row r="33" spans="1:20" ht="23.25" x14ac:dyDescent="0.35">
      <c r="A33" s="43" t="s">
        <v>16</v>
      </c>
      <c r="B33" s="43"/>
      <c r="C33" s="4"/>
      <c r="D33" s="4"/>
      <c r="E33" s="4"/>
      <c r="F33" s="4"/>
      <c r="G33" s="4"/>
      <c r="H33" s="4"/>
      <c r="L33" s="10"/>
      <c r="M33" s="33"/>
    </row>
    <row r="34" spans="1:20" ht="25.5" customHeight="1" x14ac:dyDescent="0.2">
      <c r="L34" s="13"/>
    </row>
    <row r="35" spans="1:20" ht="28.5" thickBot="1" x14ac:dyDescent="0.45">
      <c r="A35" s="37"/>
      <c r="B35" s="1"/>
      <c r="C35" s="1"/>
      <c r="D35" s="1"/>
      <c r="F35" s="23" t="s">
        <v>21</v>
      </c>
      <c r="G35" s="23"/>
      <c r="H35" s="23"/>
      <c r="L35" s="14">
        <f>L30+'VETS DOUBLES'!I26</f>
        <v>1380</v>
      </c>
    </row>
    <row r="36" spans="1:20" ht="31.5" customHeight="1" thickBot="1" x14ac:dyDescent="0.25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5"/>
      <c r="O36" s="3"/>
      <c r="P36" s="3"/>
      <c r="Q36" s="3"/>
      <c r="R36" s="3"/>
      <c r="S36" s="3"/>
      <c r="T36" s="3"/>
    </row>
    <row r="37" spans="1:20" s="3" customFormat="1" x14ac:dyDescent="0.2">
      <c r="A37"/>
      <c r="E37"/>
      <c r="F37"/>
      <c r="G37"/>
      <c r="H37"/>
      <c r="I37"/>
      <c r="J37"/>
      <c r="K37"/>
      <c r="L37"/>
      <c r="M37" s="30"/>
      <c r="O37"/>
      <c r="P37"/>
      <c r="Q37"/>
      <c r="R37"/>
      <c r="S37"/>
      <c r="T37"/>
    </row>
  </sheetData>
  <mergeCells count="2">
    <mergeCell ref="A1:M1"/>
    <mergeCell ref="E4:L4"/>
  </mergeCells>
  <printOptions horizontalCentered="1" verticalCentered="1"/>
  <pageMargins left="0.25" right="0.25" top="0.75" bottom="0.75" header="0.3" footer="0.3"/>
  <pageSetup paperSize="9" scale="46" orientation="portrait" r:id="rId1"/>
  <headerFooter>
    <oddHeader xml:space="preserve">&amp;L
&amp;G&amp;C
</oddHeader>
    <oddFooter xml:space="preserve">&amp;C </oddFooter>
  </headerFooter>
  <ignoredErrors>
    <ignoredError sqref="A6" calculatedColumn="1"/>
  </ignoredErrors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3"/>
  <sheetViews>
    <sheetView showGridLines="0" showZeros="0" tabSelected="1" view="pageBreakPreview" zoomScale="70" zoomScaleNormal="70" zoomScaleSheetLayoutView="70" zoomScalePageLayoutView="70" workbookViewId="0">
      <selection activeCell="E8" sqref="E8"/>
    </sheetView>
  </sheetViews>
  <sheetFormatPr defaultRowHeight="12.75" x14ac:dyDescent="0.2"/>
  <cols>
    <col min="1" max="1" width="12.140625" customWidth="1"/>
    <col min="2" max="2" width="40.7109375" customWidth="1"/>
    <col min="3" max="3" width="27.5703125" customWidth="1"/>
    <col min="4" max="4" width="40.7109375" customWidth="1"/>
    <col min="5" max="5" width="27.140625" customWidth="1"/>
    <col min="6" max="8" width="21" customWidth="1"/>
    <col min="9" max="9" width="24.85546875" customWidth="1"/>
    <col min="10" max="10" width="15.140625" style="30" hidden="1" customWidth="1"/>
    <col min="11" max="11" width="2.5703125" customWidth="1"/>
    <col min="12" max="12" width="11.7109375" customWidth="1"/>
  </cols>
  <sheetData>
    <row r="1" spans="1:15" ht="143.25" customHeight="1" thickBot="1" x14ac:dyDescent="0.25">
      <c r="A1" s="72"/>
      <c r="B1" s="77"/>
      <c r="C1" s="77"/>
      <c r="D1" s="77"/>
      <c r="E1" s="73"/>
      <c r="F1" s="73"/>
      <c r="G1" s="73"/>
      <c r="H1" s="73"/>
      <c r="I1" s="73"/>
      <c r="J1" s="73"/>
    </row>
    <row r="2" spans="1:15" ht="42" customHeight="1" x14ac:dyDescent="0.35">
      <c r="A2" s="9" t="s">
        <v>14</v>
      </c>
      <c r="B2" s="9" t="s">
        <v>24</v>
      </c>
      <c r="C2" s="35" t="s">
        <v>26</v>
      </c>
      <c r="I2" s="36"/>
      <c r="J2" s="36"/>
      <c r="K2" s="36"/>
      <c r="L2" s="36"/>
      <c r="M2" s="36"/>
      <c r="N2" s="36"/>
      <c r="O2" s="36"/>
    </row>
    <row r="3" spans="1:15" ht="29.25" customHeight="1" thickBot="1" x14ac:dyDescent="0.4">
      <c r="A3" s="37" t="s">
        <v>12</v>
      </c>
      <c r="B3" s="62" t="s">
        <v>25</v>
      </c>
      <c r="C3" s="38"/>
      <c r="I3" s="38"/>
      <c r="J3" s="38"/>
      <c r="K3" s="36"/>
      <c r="L3" s="36"/>
      <c r="M3" s="36"/>
      <c r="N3" s="36"/>
      <c r="O3" s="36"/>
    </row>
    <row r="4" spans="1:15" ht="27" customHeight="1" thickBot="1" x14ac:dyDescent="0.3">
      <c r="A4" s="48"/>
      <c r="B4" s="48"/>
      <c r="C4" s="48"/>
      <c r="D4" s="48"/>
      <c r="E4" s="48"/>
      <c r="F4" s="49" t="s">
        <v>13</v>
      </c>
      <c r="G4" s="50"/>
      <c r="H4" s="50"/>
      <c r="I4" s="61"/>
      <c r="J4" s="50"/>
    </row>
    <row r="5" spans="1:15" s="2" customFormat="1" ht="39.75" customHeight="1" thickBot="1" x14ac:dyDescent="0.3">
      <c r="A5" s="68" t="s">
        <v>4</v>
      </c>
      <c r="B5" s="68" t="s">
        <v>33</v>
      </c>
      <c r="C5" s="68" t="s">
        <v>3</v>
      </c>
      <c r="D5" s="68" t="s">
        <v>34</v>
      </c>
      <c r="E5" s="47" t="s">
        <v>35</v>
      </c>
      <c r="F5" s="69" t="s">
        <v>30</v>
      </c>
      <c r="G5" s="70" t="s">
        <v>29</v>
      </c>
      <c r="H5" s="70" t="s">
        <v>28</v>
      </c>
      <c r="I5" s="46" t="s">
        <v>18</v>
      </c>
      <c r="J5" s="31" t="s">
        <v>6</v>
      </c>
      <c r="K5"/>
      <c r="L5"/>
    </row>
    <row r="6" spans="1:15" ht="30" customHeight="1" thickBot="1" x14ac:dyDescent="0.25">
      <c r="A6" s="79">
        <v>1</v>
      </c>
      <c r="B6" s="79" t="s">
        <v>36</v>
      </c>
      <c r="C6" s="79" t="s">
        <v>31</v>
      </c>
      <c r="D6" s="79" t="s">
        <v>37</v>
      </c>
      <c r="E6" s="80" t="s">
        <v>31</v>
      </c>
      <c r="F6" s="63"/>
      <c r="G6" s="64"/>
      <c r="H6" s="64"/>
      <c r="I6" s="66"/>
      <c r="J6" s="32">
        <f t="shared" ref="J6:J25" si="0">COUNTA(F6:G6)</f>
        <v>0</v>
      </c>
    </row>
    <row r="7" spans="1:15" ht="30" customHeight="1" thickBot="1" x14ac:dyDescent="0.25">
      <c r="A7" s="81">
        <f>A6+1</f>
        <v>2</v>
      </c>
      <c r="B7" s="81" t="s">
        <v>38</v>
      </c>
      <c r="C7" s="81" t="s">
        <v>40</v>
      </c>
      <c r="D7" s="81" t="s">
        <v>42</v>
      </c>
      <c r="E7" s="92" t="s">
        <v>43</v>
      </c>
      <c r="F7" s="18"/>
      <c r="G7" s="17" t="s">
        <v>41</v>
      </c>
      <c r="H7" s="17"/>
      <c r="I7" s="52">
        <v>120</v>
      </c>
      <c r="J7" s="30">
        <f t="shared" si="0"/>
        <v>1</v>
      </c>
    </row>
    <row r="8" spans="1:15" ht="30" customHeight="1" thickBot="1" x14ac:dyDescent="0.25">
      <c r="A8" s="81">
        <f t="shared" ref="A8:A25" si="1">A7+1</f>
        <v>3</v>
      </c>
      <c r="B8" s="81" t="s">
        <v>38</v>
      </c>
      <c r="C8" s="81" t="s">
        <v>40</v>
      </c>
      <c r="D8" s="81" t="s">
        <v>44</v>
      </c>
      <c r="E8" s="93" t="s">
        <v>45</v>
      </c>
      <c r="F8" s="18"/>
      <c r="G8" s="17"/>
      <c r="H8" s="17" t="s">
        <v>41</v>
      </c>
      <c r="I8" s="52">
        <v>120</v>
      </c>
      <c r="J8" s="30">
        <f t="shared" si="0"/>
        <v>0</v>
      </c>
    </row>
    <row r="9" spans="1:15" ht="30" customHeight="1" thickBot="1" x14ac:dyDescent="0.25">
      <c r="A9" s="81">
        <f t="shared" si="1"/>
        <v>4</v>
      </c>
      <c r="B9" s="81" t="s">
        <v>47</v>
      </c>
      <c r="C9" s="81" t="s">
        <v>40</v>
      </c>
      <c r="D9" s="81" t="s">
        <v>48</v>
      </c>
      <c r="E9" s="82" t="s">
        <v>40</v>
      </c>
      <c r="F9" s="18"/>
      <c r="G9" s="17" t="s">
        <v>41</v>
      </c>
      <c r="H9" s="17"/>
      <c r="I9" s="52">
        <v>120</v>
      </c>
      <c r="J9" s="30">
        <f t="shared" si="0"/>
        <v>1</v>
      </c>
    </row>
    <row r="10" spans="1:15" ht="30" customHeight="1" thickBot="1" x14ac:dyDescent="0.25">
      <c r="A10" s="81">
        <f t="shared" si="1"/>
        <v>5</v>
      </c>
      <c r="B10" s="81" t="s">
        <v>49</v>
      </c>
      <c r="C10" s="81" t="s">
        <v>40</v>
      </c>
      <c r="D10" s="81" t="s">
        <v>50</v>
      </c>
      <c r="E10" s="82" t="s">
        <v>40</v>
      </c>
      <c r="F10" s="18"/>
      <c r="G10" s="17" t="s">
        <v>41</v>
      </c>
      <c r="H10" s="17"/>
      <c r="I10" s="52">
        <v>120</v>
      </c>
      <c r="J10" s="30">
        <f t="shared" si="0"/>
        <v>1</v>
      </c>
    </row>
    <row r="11" spans="1:15" ht="30" customHeight="1" thickBot="1" x14ac:dyDescent="0.25">
      <c r="A11" s="19">
        <f t="shared" si="1"/>
        <v>6</v>
      </c>
      <c r="B11" s="19"/>
      <c r="C11" s="19"/>
      <c r="D11" s="19"/>
      <c r="E11" s="71"/>
      <c r="F11" s="18"/>
      <c r="G11" s="17"/>
      <c r="H11" s="17"/>
      <c r="I11" s="52">
        <f t="shared" ref="I7:I25" si="2">IF(J11&lt;1,0,IF(J11&gt;=2,200,100))</f>
        <v>0</v>
      </c>
      <c r="J11" s="30">
        <f t="shared" si="0"/>
        <v>0</v>
      </c>
    </row>
    <row r="12" spans="1:15" ht="30" customHeight="1" thickBot="1" x14ac:dyDescent="0.25">
      <c r="A12" s="19">
        <f t="shared" si="1"/>
        <v>7</v>
      </c>
      <c r="B12" s="19"/>
      <c r="C12" s="19"/>
      <c r="D12" s="19"/>
      <c r="E12" s="71"/>
      <c r="F12" s="18"/>
      <c r="G12" s="17"/>
      <c r="H12" s="17"/>
      <c r="I12" s="52">
        <f t="shared" si="2"/>
        <v>0</v>
      </c>
      <c r="J12" s="30">
        <f t="shared" si="0"/>
        <v>0</v>
      </c>
    </row>
    <row r="13" spans="1:15" ht="30" customHeight="1" thickBot="1" x14ac:dyDescent="0.25">
      <c r="A13" s="19">
        <f t="shared" si="1"/>
        <v>8</v>
      </c>
      <c r="B13" s="19"/>
      <c r="C13" s="19"/>
      <c r="D13" s="19"/>
      <c r="E13" s="71"/>
      <c r="F13" s="18"/>
      <c r="G13" s="17"/>
      <c r="H13" s="17"/>
      <c r="I13" s="52">
        <f t="shared" si="2"/>
        <v>0</v>
      </c>
      <c r="J13" s="30">
        <f t="shared" si="0"/>
        <v>0</v>
      </c>
    </row>
    <row r="14" spans="1:15" ht="30" customHeight="1" thickBot="1" x14ac:dyDescent="0.25">
      <c r="A14" s="19">
        <f t="shared" si="1"/>
        <v>9</v>
      </c>
      <c r="B14" s="19"/>
      <c r="C14" s="19"/>
      <c r="D14" s="19"/>
      <c r="E14" s="71"/>
      <c r="F14" s="18"/>
      <c r="G14" s="17"/>
      <c r="H14" s="17"/>
      <c r="I14" s="52">
        <f t="shared" si="2"/>
        <v>0</v>
      </c>
      <c r="J14" s="30">
        <f t="shared" si="0"/>
        <v>0</v>
      </c>
    </row>
    <row r="15" spans="1:15" ht="30" customHeight="1" thickBot="1" x14ac:dyDescent="0.25">
      <c r="A15" s="19">
        <f t="shared" si="1"/>
        <v>10</v>
      </c>
      <c r="B15" s="19"/>
      <c r="C15" s="19"/>
      <c r="D15" s="19"/>
      <c r="E15" s="71"/>
      <c r="F15" s="18"/>
      <c r="G15" s="17"/>
      <c r="H15" s="17"/>
      <c r="I15" s="52">
        <f t="shared" si="2"/>
        <v>0</v>
      </c>
      <c r="J15" s="30">
        <f t="shared" si="0"/>
        <v>0</v>
      </c>
    </row>
    <row r="16" spans="1:15" ht="30" customHeight="1" thickBot="1" x14ac:dyDescent="0.25">
      <c r="A16" s="19">
        <f t="shared" si="1"/>
        <v>11</v>
      </c>
      <c r="B16" s="19"/>
      <c r="C16" s="19"/>
      <c r="D16" s="19"/>
      <c r="E16" s="71"/>
      <c r="F16" s="18"/>
      <c r="G16" s="17"/>
      <c r="H16" s="17"/>
      <c r="I16" s="52">
        <f t="shared" si="2"/>
        <v>0</v>
      </c>
      <c r="J16" s="30">
        <f t="shared" si="0"/>
        <v>0</v>
      </c>
    </row>
    <row r="17" spans="1:12" ht="30" customHeight="1" thickBot="1" x14ac:dyDescent="0.25">
      <c r="A17" s="19">
        <f t="shared" si="1"/>
        <v>12</v>
      </c>
      <c r="B17" s="19"/>
      <c r="C17" s="19"/>
      <c r="D17" s="19"/>
      <c r="E17" s="71"/>
      <c r="F17" s="18"/>
      <c r="G17" s="17"/>
      <c r="H17" s="17"/>
      <c r="I17" s="52">
        <f t="shared" si="2"/>
        <v>0</v>
      </c>
      <c r="J17" s="30">
        <f t="shared" si="0"/>
        <v>0</v>
      </c>
    </row>
    <row r="18" spans="1:12" ht="30" customHeight="1" thickBot="1" x14ac:dyDescent="0.25">
      <c r="A18" s="19">
        <f t="shared" si="1"/>
        <v>13</v>
      </c>
      <c r="B18" s="19"/>
      <c r="C18" s="19"/>
      <c r="D18" s="19"/>
      <c r="E18" s="71"/>
      <c r="F18" s="18"/>
      <c r="G18" s="17"/>
      <c r="H18" s="17"/>
      <c r="I18" s="52">
        <f t="shared" si="2"/>
        <v>0</v>
      </c>
      <c r="J18" s="30">
        <f t="shared" si="0"/>
        <v>0</v>
      </c>
    </row>
    <row r="19" spans="1:12" ht="30" customHeight="1" thickBot="1" x14ac:dyDescent="0.25">
      <c r="A19" s="19">
        <f t="shared" si="1"/>
        <v>14</v>
      </c>
      <c r="B19" s="19"/>
      <c r="C19" s="19"/>
      <c r="D19" s="19"/>
      <c r="E19" s="71"/>
      <c r="F19" s="18"/>
      <c r="G19" s="17"/>
      <c r="H19" s="17"/>
      <c r="I19" s="52">
        <f t="shared" si="2"/>
        <v>0</v>
      </c>
      <c r="J19" s="30">
        <f t="shared" si="0"/>
        <v>0</v>
      </c>
    </row>
    <row r="20" spans="1:12" ht="30" customHeight="1" thickBot="1" x14ac:dyDescent="0.25">
      <c r="A20" s="19">
        <f t="shared" si="1"/>
        <v>15</v>
      </c>
      <c r="B20" s="19"/>
      <c r="C20" s="19"/>
      <c r="D20" s="19"/>
      <c r="E20" s="71"/>
      <c r="F20" s="18"/>
      <c r="G20" s="17"/>
      <c r="H20" s="17"/>
      <c r="I20" s="52">
        <f t="shared" si="2"/>
        <v>0</v>
      </c>
      <c r="J20" s="30">
        <f t="shared" si="0"/>
        <v>0</v>
      </c>
    </row>
    <row r="21" spans="1:12" ht="30" customHeight="1" thickBot="1" x14ac:dyDescent="0.25">
      <c r="A21" s="19">
        <f t="shared" si="1"/>
        <v>16</v>
      </c>
      <c r="B21" s="19"/>
      <c r="C21" s="19"/>
      <c r="D21" s="19"/>
      <c r="E21" s="71"/>
      <c r="F21" s="18"/>
      <c r="G21" s="17"/>
      <c r="H21" s="17"/>
      <c r="I21" s="52">
        <f t="shared" si="2"/>
        <v>0</v>
      </c>
      <c r="J21" s="30">
        <f t="shared" si="0"/>
        <v>0</v>
      </c>
    </row>
    <row r="22" spans="1:12" ht="30" customHeight="1" thickBot="1" x14ac:dyDescent="0.25">
      <c r="A22" s="19">
        <f t="shared" si="1"/>
        <v>17</v>
      </c>
      <c r="B22" s="19"/>
      <c r="C22" s="19"/>
      <c r="D22" s="19"/>
      <c r="E22" s="71"/>
      <c r="F22" s="18"/>
      <c r="G22" s="17"/>
      <c r="H22" s="17"/>
      <c r="I22" s="52">
        <f t="shared" si="2"/>
        <v>0</v>
      </c>
      <c r="J22" s="30">
        <f t="shared" si="0"/>
        <v>0</v>
      </c>
    </row>
    <row r="23" spans="1:12" ht="30" customHeight="1" thickBot="1" x14ac:dyDescent="0.25">
      <c r="A23" s="19">
        <f t="shared" si="1"/>
        <v>18</v>
      </c>
      <c r="B23" s="19"/>
      <c r="C23" s="19"/>
      <c r="D23" s="19"/>
      <c r="E23" s="71"/>
      <c r="F23" s="18"/>
      <c r="G23" s="17"/>
      <c r="H23" s="17"/>
      <c r="I23" s="52">
        <f t="shared" si="2"/>
        <v>0</v>
      </c>
      <c r="J23" s="30">
        <f t="shared" si="0"/>
        <v>0</v>
      </c>
    </row>
    <row r="24" spans="1:12" ht="30" customHeight="1" thickBot="1" x14ac:dyDescent="0.25">
      <c r="A24" s="19">
        <f t="shared" si="1"/>
        <v>19</v>
      </c>
      <c r="B24" s="19"/>
      <c r="C24" s="19"/>
      <c r="D24" s="19"/>
      <c r="E24" s="71"/>
      <c r="F24" s="18"/>
      <c r="G24" s="17"/>
      <c r="H24" s="17"/>
      <c r="I24" s="52">
        <f t="shared" si="2"/>
        <v>0</v>
      </c>
      <c r="J24" s="30">
        <f t="shared" si="0"/>
        <v>0</v>
      </c>
    </row>
    <row r="25" spans="1:12" ht="30" customHeight="1" thickBot="1" x14ac:dyDescent="0.25">
      <c r="A25" s="19">
        <f t="shared" si="1"/>
        <v>20</v>
      </c>
      <c r="B25" s="19"/>
      <c r="C25" s="19"/>
      <c r="D25" s="19"/>
      <c r="E25" s="71"/>
      <c r="F25" s="18"/>
      <c r="G25" s="17"/>
      <c r="H25" s="17"/>
      <c r="I25" s="52">
        <f t="shared" si="2"/>
        <v>0</v>
      </c>
      <c r="J25" s="30">
        <f t="shared" si="0"/>
        <v>0</v>
      </c>
    </row>
    <row r="26" spans="1:12" ht="33" customHeight="1" thickBot="1" x14ac:dyDescent="0.45">
      <c r="A26" s="59"/>
      <c r="B26" s="67"/>
      <c r="C26" s="67"/>
      <c r="D26" s="67"/>
      <c r="E26" s="60" t="s">
        <v>2</v>
      </c>
      <c r="F26" s="56">
        <f>SUBTOTAL(3,F6:F25)</f>
        <v>0</v>
      </c>
      <c r="G26" s="58">
        <f>SUBTOTAL(3,G6:G25)</f>
        <v>3</v>
      </c>
      <c r="H26" s="57">
        <v>1</v>
      </c>
      <c r="I26" s="78">
        <v>480</v>
      </c>
    </row>
    <row r="27" spans="1:12" ht="26.25" customHeight="1" x14ac:dyDescent="0.4">
      <c r="A27" s="39" t="s">
        <v>15</v>
      </c>
      <c r="B27" s="39"/>
      <c r="C27" s="39"/>
      <c r="D27" s="39"/>
      <c r="E27" s="40"/>
      <c r="F27" s="40"/>
      <c r="G27" s="41"/>
      <c r="H27" s="41"/>
      <c r="I27" s="11"/>
      <c r="J27" s="11"/>
      <c r="K27" s="11"/>
      <c r="L27" s="11"/>
    </row>
    <row r="28" spans="1:12" ht="26.25" customHeight="1" x14ac:dyDescent="0.4">
      <c r="A28" s="42" t="s">
        <v>27</v>
      </c>
      <c r="B28" s="42"/>
      <c r="C28" s="42"/>
      <c r="D28" s="42"/>
      <c r="E28" s="40"/>
      <c r="F28" s="40"/>
      <c r="G28" s="41"/>
      <c r="H28" s="41"/>
      <c r="I28" s="11"/>
      <c r="J28" s="11"/>
    </row>
    <row r="29" spans="1:12" ht="20.25" x14ac:dyDescent="0.3">
      <c r="A29" s="43" t="s">
        <v>16</v>
      </c>
      <c r="B29" s="43"/>
      <c r="C29" s="43"/>
      <c r="D29" s="43"/>
      <c r="E29" s="43"/>
      <c r="F29" s="4"/>
      <c r="G29" s="4"/>
      <c r="H29" s="4"/>
      <c r="I29" s="4"/>
      <c r="J29" s="4"/>
    </row>
    <row r="30" spans="1:12" ht="25.5" customHeight="1" x14ac:dyDescent="0.2">
      <c r="J30"/>
    </row>
    <row r="31" spans="1:12" ht="28.5" thickBot="1" x14ac:dyDescent="0.45">
      <c r="A31" s="37"/>
      <c r="B31" s="37"/>
      <c r="C31" s="37"/>
      <c r="D31" s="37"/>
      <c r="E31" s="1"/>
      <c r="F31" s="23"/>
      <c r="G31" s="23"/>
      <c r="H31" s="23"/>
      <c r="I31" s="14"/>
      <c r="J31"/>
    </row>
    <row r="32" spans="1:12" ht="31.5" customHeight="1" thickBot="1" x14ac:dyDescent="0.25">
      <c r="A32" s="6"/>
      <c r="B32" s="1"/>
      <c r="C32" s="1"/>
      <c r="D32" s="1"/>
      <c r="E32" s="1"/>
      <c r="F32" s="1"/>
      <c r="G32" s="1"/>
      <c r="H32" s="1"/>
      <c r="I32" s="15"/>
      <c r="K32" s="3"/>
      <c r="L32" s="3"/>
    </row>
    <row r="33" spans="1:12" s="3" customFormat="1" x14ac:dyDescent="0.2">
      <c r="A33"/>
      <c r="B33"/>
      <c r="C33"/>
      <c r="D33"/>
      <c r="F33"/>
      <c r="G33"/>
      <c r="H33"/>
      <c r="I33"/>
      <c r="J33" s="30"/>
      <c r="K33"/>
      <c r="L33"/>
    </row>
  </sheetData>
  <mergeCells count="1">
    <mergeCell ref="A1:J1"/>
  </mergeCells>
  <phoneticPr fontId="20" type="noConversion"/>
  <printOptions horizontalCentered="1" verticalCentered="1"/>
  <pageMargins left="0.25" right="0.25" top="0.75" bottom="0.75" header="0.3" footer="0.3"/>
  <pageSetup paperSize="9" scale="42" orientation="portrait" r:id="rId1"/>
  <headerFooter>
    <oddHeader xml:space="preserve">&amp;L
&amp;G&amp;C
</oddHeader>
    <oddFooter xml:space="preserve">&amp;C </oddFooter>
  </headerFooter>
  <drawing r:id="rId2"/>
  <legacyDrawingHF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VETS SINGLES</vt:lpstr>
      <vt:lpstr>VETS DOUBLES</vt:lpstr>
      <vt:lpstr>'VETS DOUBLES'!Print_Area</vt:lpstr>
      <vt:lpstr>'VETS SINGLES'!Print_Area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Holmes</dc:creator>
  <cp:lastModifiedBy>kelvin smith</cp:lastModifiedBy>
  <cp:lastPrinted>2024-04-11T12:32:51Z</cp:lastPrinted>
  <dcterms:created xsi:type="dcterms:W3CDTF">2000-06-05T10:21:52Z</dcterms:created>
  <dcterms:modified xsi:type="dcterms:W3CDTF">2026-09-05T19:11:55Z</dcterms:modified>
</cp:coreProperties>
</file>